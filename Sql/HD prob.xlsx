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drawings/drawing3.xml" ContentType="application/vnd.openxmlformats-officedocument.drawing+xml"/>
  <Override PartName="/xl/ink/ink3.xml" ContentType="application/inkml+xml"/>
  <Override PartName="/xl/drawings/drawing4.xml" ContentType="application/vnd.openxmlformats-officedocument.drawing+xml"/>
  <Override PartName="/xl/ink/ink4.xml" ContentType="application/inkml+xml"/>
  <Override PartName="/xl/drawings/drawing5.xml" ContentType="application/vnd.openxmlformats-officedocument.drawing+xml"/>
  <Override PartName="/xl/ink/ink5.xml" ContentType="application/inkml+xml"/>
  <Override PartName="/xl/drawings/drawing6.xml" ContentType="application/vnd.openxmlformats-officedocument.drawing+xml"/>
  <Override PartName="/xl/ink/ink6.xml" ContentType="application/inkml+xml"/>
  <Override PartName="/xl/drawings/drawing7.xml" ContentType="application/vnd.openxmlformats-officedocument.drawing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ms-october-bkps\Sql\"/>
    </mc:Choice>
  </mc:AlternateContent>
  <xr:revisionPtr revIDLastSave="0" documentId="13_ncr:1_{412AB534-9211-4A20-98F8-FC9818FD93DE}" xr6:coauthVersionLast="47" xr6:coauthVersionMax="47" xr10:uidLastSave="{00000000-0000-0000-0000-000000000000}"/>
  <bookViews>
    <workbookView xWindow="23880" yWindow="630" windowWidth="20730" windowHeight="11040" tabRatio="692" firstSheet="7" activeTab="7" xr2:uid="{D32FFA46-9C2E-4324-9790-4976D8E4A0B4}"/>
  </bookViews>
  <sheets>
    <sheet name="Sheet1" sheetId="1" state="hidden" r:id="rId1"/>
    <sheet name="Payment Data Syucess ECM TO GDM" sheetId="3" state="hidden" r:id="rId2"/>
    <sheet name="Payment Duplicate error fix" sheetId="4" state="hidden" r:id="rId3"/>
    <sheet name="Transfered  Progression Checkin" sheetId="5" state="hidden" r:id="rId4"/>
    <sheet name="POS  and PAGE UPDATE" sheetId="7" state="hidden" r:id="rId5"/>
    <sheet name="Induction re-arrange" sheetId="13" state="hidden" r:id="rId6"/>
    <sheet name="re register" sheetId="12" state="hidden" r:id="rId7"/>
    <sheet name="Wanna Host Coreclty" sheetId="16" r:id="rId8"/>
    <sheet name="New ID Order Missing " sheetId="14" r:id="rId9"/>
    <sheet name="HD RESULT another also" sheetId="2" r:id="rId10"/>
    <sheet name="Sheet2" sheetId="6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H29" i="1"/>
  <c r="E29" i="1"/>
  <c r="E14" i="1"/>
  <c r="H14" i="1"/>
  <c r="E17" i="1" l="1"/>
</calcChain>
</file>

<file path=xl/sharedStrings.xml><?xml version="1.0" encoding="utf-8"?>
<sst xmlns="http://schemas.openxmlformats.org/spreadsheetml/2006/main" count="370" uniqueCount="162">
  <si>
    <t>Re-sit</t>
  </si>
  <si>
    <t>Merit</t>
  </si>
  <si>
    <t>pro</t>
  </si>
  <si>
    <t>mod</t>
  </si>
  <si>
    <t>mai_com</t>
  </si>
  <si>
    <t>%</t>
  </si>
  <si>
    <t>grade</t>
  </si>
  <si>
    <t>batc</t>
  </si>
  <si>
    <t>batch 30</t>
  </si>
  <si>
    <t>Pending</t>
  </si>
  <si>
    <t>Batch 31</t>
  </si>
  <si>
    <t>transferred➡️➡️</t>
  </si>
  <si>
    <t>32+44</t>
  </si>
  <si>
    <t>Distinction</t>
  </si>
  <si>
    <t>exam_result_folder\save_results.php 24-08-2026 b1</t>
  </si>
  <si>
    <t>exam_result_folder\fetch_results.php</t>
  </si>
  <si>
    <t>exam_result_send.php</t>
  </si>
  <si>
    <t>all_results.php</t>
  </si>
  <si>
    <t>Karen Geethma 774936890 ECM 15 ECM15072502</t>
  </si>
  <si>
    <t>Bhuddhima Pramudini 76 646 5313 ECM 18 ECM18112525</t>
  </si>
  <si>
    <t>Mohomed Shadeed 767418623 ECM 18 ECM18112532</t>
  </si>
  <si>
    <t>Oshadie Perera 704151987 ECM 18 ECM18112533</t>
  </si>
  <si>
    <t>payment_due_tables</t>
  </si>
  <si>
    <t>7000 Changed to 0</t>
  </si>
  <si>
    <t>payment_withheld_table</t>
  </si>
  <si>
    <t>due count bms 0</t>
  </si>
  <si>
    <t>payment_wise_info</t>
  </si>
  <si>
    <t>installment_2</t>
  </si>
  <si>
    <t>installment_2  13000+7000 include</t>
  </si>
  <si>
    <t>due uni t0 0</t>
  </si>
  <si>
    <t>2 initial</t>
  </si>
  <si>
    <t>-</t>
  </si>
  <si>
    <t>✅✅</t>
  </si>
  <si>
    <t>uni fee 0</t>
  </si>
  <si>
    <t>13000 to 20000</t>
  </si>
  <si>
    <t>9500 to 20000</t>
  </si>
  <si>
    <t>uni 0</t>
  </si>
  <si>
    <t>7000 to 0</t>
  </si>
  <si>
    <t>nstallment_2 13000+ 7 inlcude</t>
  </si>
  <si>
    <t>⬇️</t>
  </si>
  <si>
    <t>no changes</t>
  </si>
  <si>
    <t>Aready Changed</t>
  </si>
  <si>
    <r>
      <t xml:space="preserve">Marian Hiranthi paiva 766099671 </t>
    </r>
    <r>
      <rPr>
        <sz val="11"/>
        <color theme="5" tint="-0.249977111117893"/>
        <rFont val="Calibri"/>
        <family val="2"/>
        <scheme val="minor"/>
      </rPr>
      <t xml:space="preserve">ECM 17 </t>
    </r>
    <r>
      <rPr>
        <sz val="11"/>
        <color theme="1"/>
        <rFont val="Calibri"/>
        <family val="2"/>
        <scheme val="minor"/>
      </rPr>
      <t>ECM17112525</t>
    </r>
  </si>
  <si>
    <r>
      <t xml:space="preserve">Akshal Oliprakasam 76 949 9711 </t>
    </r>
    <r>
      <rPr>
        <sz val="11"/>
        <color theme="5" tint="-0.249977111117893"/>
        <rFont val="Calibri"/>
        <family val="2"/>
        <scheme val="minor"/>
      </rPr>
      <t xml:space="preserve">ECM 15 </t>
    </r>
    <r>
      <rPr>
        <sz val="11"/>
        <color theme="1"/>
        <rFont val="Calibri"/>
        <family val="2"/>
        <scheme val="minor"/>
      </rPr>
      <t>ECM15072522</t>
    </r>
  </si>
  <si>
    <t>Ratnakumar Dakshan 72 602 9150 ECM 18 ECM18112528</t>
  </si>
  <si>
    <r>
      <t>Arthifa rizwan 741032369</t>
    </r>
    <r>
      <rPr>
        <sz val="11"/>
        <color theme="5" tint="-0.249977111117893"/>
        <rFont val="Calibri"/>
        <family val="2"/>
        <scheme val="minor"/>
      </rPr>
      <t xml:space="preserve"> ECM 1</t>
    </r>
    <r>
      <rPr>
        <sz val="11"/>
        <color theme="1"/>
        <rFont val="Calibri"/>
        <family val="2"/>
        <scheme val="minor"/>
      </rPr>
      <t>6 ECM16072529</t>
    </r>
  </si>
  <si>
    <t>Comepleted</t>
  </si>
  <si>
    <t>ECM 15</t>
  </si>
  <si>
    <t>ECM15072522</t>
  </si>
  <si>
    <t>ECM15072502</t>
  </si>
  <si>
    <t>ECM 16</t>
  </si>
  <si>
    <t>ECM16072529</t>
  </si>
  <si>
    <t>ECM 17</t>
  </si>
  <si>
    <t>ECM17112525</t>
  </si>
  <si>
    <t>ECM 18</t>
  </si>
  <si>
    <t>ECM18112528</t>
  </si>
  <si>
    <t>ECM18112525</t>
  </si>
  <si>
    <t>ECM18112532</t>
  </si>
  <si>
    <t>ECM18112533</t>
  </si>
  <si>
    <t>Already Com</t>
  </si>
  <si>
    <t>completed</t>
  </si>
  <si>
    <t>Have in Progrssion Page</t>
  </si>
  <si>
    <t>payment_folder\process_payment.php</t>
  </si>
  <si>
    <t>payment.php</t>
  </si>
  <si>
    <t>check_all_data_for.php</t>
  </si>
  <si>
    <t>fetch_student_complete_data.php</t>
  </si>
  <si>
    <t>fetch_students_all.php</t>
  </si>
  <si>
    <t>Gerald Bastianpillai </t>
  </si>
  <si>
    <t>Transferred</t>
  </si>
  <si>
    <t>ECM14032528</t>
  </si>
  <si>
    <t>Active</t>
  </si>
  <si>
    <t>ECM22072632</t>
  </si>
  <si>
    <t>ECM15072501</t>
  </si>
  <si>
    <t>DROP</t>
  </si>
  <si>
    <t>ECM16072510</t>
  </si>
  <si>
    <t>ECM16072530</t>
  </si>
  <si>
    <t>ACTIVE</t>
  </si>
  <si>
    <t>ATIVE</t>
  </si>
  <si>
    <t>Transferred Checking</t>
  </si>
  <si>
    <t>ECM13032505</t>
  </si>
  <si>
    <t>Completed</t>
  </si>
  <si>
    <t>ECM13032507</t>
  </si>
  <si>
    <t>ECM13032523</t>
  </si>
  <si>
    <t>ECM13032527</t>
  </si>
  <si>
    <t>ECM13032528</t>
  </si>
  <si>
    <t>ECM14032505</t>
  </si>
  <si>
    <t>ECM14032506</t>
  </si>
  <si>
    <t>ECM14032511</t>
  </si>
  <si>
    <t>ECM14032515</t>
  </si>
  <si>
    <t>ECM14032522</t>
  </si>
  <si>
    <t>ECM14032523</t>
  </si>
  <si>
    <t>ECM14032527</t>
  </si>
  <si>
    <t>Program Progression</t>
  </si>
  <si>
    <t>✔️✔️</t>
  </si>
  <si>
    <t xml:space="preserve">Program Progression Changed ID </t>
  </si>
  <si>
    <t>updated</t>
  </si>
  <si>
    <t>septem 1      -      updated</t>
  </si>
  <si>
    <t>exam_report.php</t>
  </si>
  <si>
    <t>result_mailing_report.php</t>
  </si>
  <si>
    <t>induction_from_db_email_send.php</t>
  </si>
  <si>
    <t>induction_DB_folder\check_email_body_exists.php</t>
  </si>
  <si>
    <t>induction_master_db.php</t>
  </si>
  <si>
    <t>Updated</t>
  </si>
  <si>
    <t>induction_email_body_page.php</t>
  </si>
  <si>
    <t>pos_dashboard.php</t>
  </si>
  <si>
    <t>pos_products.php</t>
  </si>
  <si>
    <t>updted</t>
  </si>
  <si>
    <t>pos_reports.php</t>
  </si>
  <si>
    <t>batch_transfer.php</t>
  </si>
  <si>
    <t>ID CONCPET</t>
  </si>
  <si>
    <t>Full Done the Concept coreclty</t>
  </si>
  <si>
    <t>batchSwap.php</t>
  </si>
  <si>
    <t>programProgression.php</t>
  </si>
  <si>
    <t>re_register.php</t>
  </si>
  <si>
    <t xml:space="preserve">wanna check / payment no need to check here </t>
  </si>
  <si>
    <t>UPDATED</t>
  </si>
  <si>
    <t>re_register</t>
  </si>
  <si>
    <t>program_re_register_table table created</t>
  </si>
  <si>
    <t>included the status - UpdateStudentStatus.php    212 line</t>
  </si>
  <si>
    <t>UpdateStudentStatus.php</t>
  </si>
  <si>
    <t>Payment Scene</t>
  </si>
  <si>
    <t>add_payment_plan_folder\fetch_students_for_payment.php</t>
  </si>
  <si>
    <t>5/9/2026 updted</t>
  </si>
  <si>
    <t>Payment New ID Order Missing wID wanna get coreclt</t>
  </si>
  <si>
    <t>add_payment_plan_folder\get_student_reg_ids.php</t>
  </si>
  <si>
    <t>6/9/2026 updted</t>
  </si>
  <si>
    <t>induction_DB_folder\fetch_induction_students_from_db.php</t>
  </si>
  <si>
    <t>send_induction_email_from_db.php</t>
  </si>
  <si>
    <t>induction_email_report.php</t>
  </si>
  <si>
    <t xml:space="preserve">email log table </t>
  </si>
  <si>
    <t>induction_DB_folder\fetch_induction_email_log.php</t>
  </si>
  <si>
    <t>induction_fl_report_db.php</t>
  </si>
  <si>
    <t>induction_DB_folder\fetch_all_induction_db_students.php</t>
  </si>
  <si>
    <t>induction_scan_db.php</t>
  </si>
  <si>
    <t>induction_DB_folder\fetch_attended_db_students.php</t>
  </si>
  <si>
    <t>induction_manual_attend_db.php</t>
  </si>
  <si>
    <t>induction_scan_db_action.php</t>
  </si>
  <si>
    <t>✅</t>
  </si>
  <si>
    <t xml:space="preserve">induction_from_db_email_send.php </t>
  </si>
  <si>
    <t>07-09-2026 Updated</t>
  </si>
  <si>
    <t>07-09-2026 data</t>
  </si>
  <si>
    <t>ajax/</t>
  </si>
  <si>
    <t>payment_withheld.php</t>
  </si>
  <si>
    <t>WithHeld Data coreclty</t>
  </si>
  <si>
    <t>induction_DB_folder\fetch_induction_email_templates.php</t>
  </si>
  <si>
    <t>email body template active inactive shows</t>
  </si>
  <si>
    <t>assesmentDocumentSend.php</t>
  </si>
  <si>
    <t>transection_exams/save_assessment_document_send.php</t>
  </si>
  <si>
    <t xml:space="preserve">Updated into HOSTING </t>
  </si>
  <si>
    <t>Done</t>
  </si>
  <si>
    <t>view_details_of_exams_add_result.php</t>
  </si>
  <si>
    <t>Updated on 14-09-2026</t>
  </si>
  <si>
    <t>editAllocateProgram.php</t>
  </si>
  <si>
    <t>added the compulsary checkbox here</t>
  </si>
  <si>
    <t>single_views.php</t>
  </si>
  <si>
    <t>Wanna Host</t>
  </si>
  <si>
    <t>Hosted (Updated)</t>
  </si>
  <si>
    <t>Date Hosted</t>
  </si>
  <si>
    <t>15-09-2026 b1</t>
  </si>
  <si>
    <t>15-09-2026 b2</t>
  </si>
  <si>
    <t xml:space="preserve">exam_result_folder\save_results.php </t>
  </si>
  <si>
    <t>24-08-2026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</si>
</sst>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color rgb="FF212529"/>
      <name val="Arial"/>
      <family val="2"/>
    </font>
    <font>
      <b/>
      <sz val="11"/>
      <color rgb="FF212529"/>
      <name val="Arial"/>
      <family val="2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0" fillId="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0" fillId="0" borderId="4" xfId="0" applyBorder="1" applyAlignment="1">
      <alignment horizontal="right"/>
    </xf>
    <xf numFmtId="0" fontId="1" fillId="5" borderId="5" xfId="0" applyFont="1" applyFill="1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right"/>
    </xf>
    <xf numFmtId="0" fontId="0" fillId="6" borderId="4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2" fillId="7" borderId="9" xfId="0" applyFont="1" applyFill="1" applyBorder="1" applyAlignment="1">
      <alignment horizontal="center" vertical="center"/>
    </xf>
    <xf numFmtId="0" fontId="0" fillId="7" borderId="10" xfId="0" applyFill="1" applyBorder="1"/>
    <xf numFmtId="0" fontId="2" fillId="7" borderId="10" xfId="0" applyFont="1" applyFill="1" applyBorder="1" applyAlignment="1">
      <alignment horizontal="left" vertical="center"/>
    </xf>
    <xf numFmtId="9" fontId="2" fillId="7" borderId="10" xfId="0" applyNumberFormat="1" applyFont="1" applyFill="1" applyBorder="1" applyAlignment="1">
      <alignment horizontal="left" vertical="center"/>
    </xf>
    <xf numFmtId="0" fontId="0" fillId="7" borderId="11" xfId="0" applyFill="1" applyBorder="1"/>
    <xf numFmtId="0" fontId="0" fillId="8" borderId="0" xfId="0" applyFill="1"/>
    <xf numFmtId="0" fontId="6" fillId="0" borderId="0" xfId="0" applyFont="1"/>
    <xf numFmtId="0" fontId="6" fillId="9" borderId="0" xfId="0" applyFont="1" applyFill="1" applyAlignment="1">
      <alignment vertical="center" wrapText="1"/>
    </xf>
    <xf numFmtId="0" fontId="6" fillId="9" borderId="0" xfId="0" applyFont="1" applyFill="1" applyAlignment="1">
      <alignment horizontal="right" vertical="center"/>
    </xf>
    <xf numFmtId="0" fontId="6" fillId="9" borderId="0" xfId="0" applyFont="1" applyFill="1" applyAlignment="1">
      <alignment vertical="center"/>
    </xf>
    <xf numFmtId="0" fontId="0" fillId="10" borderId="0" xfId="0" applyFill="1"/>
    <xf numFmtId="0" fontId="5" fillId="10" borderId="0" xfId="0" applyFont="1" applyFill="1"/>
    <xf numFmtId="0" fontId="0" fillId="11" borderId="0" xfId="0" applyFill="1"/>
    <xf numFmtId="2" fontId="0" fillId="0" borderId="0" xfId="0" applyNumberFormat="1"/>
    <xf numFmtId="1" fontId="0" fillId="0" borderId="0" xfId="0" applyNumberFormat="1"/>
    <xf numFmtId="0" fontId="0" fillId="11" borderId="1" xfId="0" applyFill="1" applyBorder="1"/>
    <xf numFmtId="0" fontId="0" fillId="0" borderId="2" xfId="0" applyBorder="1"/>
    <xf numFmtId="1" fontId="8" fillId="0" borderId="3" xfId="0" applyNumberFormat="1" applyFont="1" applyBorder="1"/>
    <xf numFmtId="0" fontId="0" fillId="11" borderId="4" xfId="0" applyFill="1" applyBorder="1"/>
    <xf numFmtId="1" fontId="8" fillId="0" borderId="5" xfId="0" applyNumberFormat="1" applyFont="1" applyBorder="1"/>
    <xf numFmtId="0" fontId="5" fillId="10" borderId="4" xfId="0" applyFont="1" applyFill="1" applyBorder="1"/>
    <xf numFmtId="0" fontId="4" fillId="0" borderId="0" xfId="0" applyFont="1"/>
    <xf numFmtId="1" fontId="8" fillId="3" borderId="5" xfId="0" applyNumberFormat="1" applyFont="1" applyFill="1" applyBorder="1"/>
    <xf numFmtId="0" fontId="5" fillId="10" borderId="6" xfId="0" applyFont="1" applyFill="1" applyBorder="1"/>
    <xf numFmtId="0" fontId="0" fillId="0" borderId="7" xfId="0" applyBorder="1"/>
    <xf numFmtId="0" fontId="4" fillId="0" borderId="7" xfId="0" applyFont="1" applyBorder="1"/>
    <xf numFmtId="1" fontId="8" fillId="3" borderId="8" xfId="0" applyNumberFormat="1" applyFont="1" applyFill="1" applyBorder="1"/>
    <xf numFmtId="1" fontId="8" fillId="3" borderId="3" xfId="0" applyNumberFormat="1" applyFont="1" applyFill="1" applyBorder="1"/>
    <xf numFmtId="0" fontId="0" fillId="11" borderId="6" xfId="0" applyFill="1" applyBorder="1"/>
    <xf numFmtId="1" fontId="0" fillId="0" borderId="8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9" fillId="0" borderId="0" xfId="0" applyFont="1"/>
    <xf numFmtId="0" fontId="0" fillId="3" borderId="16" xfId="0" applyFill="1" applyBorder="1"/>
    <xf numFmtId="0" fontId="0" fillId="3" borderId="0" xfId="0" applyFill="1"/>
    <xf numFmtId="0" fontId="0" fillId="3" borderId="17" xfId="0" applyFill="1" applyBorder="1"/>
    <xf numFmtId="0" fontId="0" fillId="11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20" xfId="0" applyFill="1" applyBorder="1"/>
    <xf numFmtId="0" fontId="0" fillId="12" borderId="0" xfId="0" applyFill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2" xfId="0" applyBorder="1"/>
    <xf numFmtId="0" fontId="0" fillId="0" borderId="0" xfId="0" applyAlignment="1">
      <alignment horizontal="left"/>
    </xf>
    <xf numFmtId="0" fontId="0" fillId="13" borderId="16" xfId="0" applyFill="1" applyBorder="1"/>
    <xf numFmtId="0" fontId="0" fillId="13" borderId="0" xfId="0" applyFill="1"/>
    <xf numFmtId="0" fontId="4" fillId="13" borderId="0" xfId="0" applyFont="1" applyFill="1"/>
    <xf numFmtId="16" fontId="0" fillId="8" borderId="14" xfId="0" applyNumberFormat="1" applyFill="1" applyBorder="1"/>
    <xf numFmtId="14" fontId="0" fillId="8" borderId="0" xfId="0" applyNumberFormat="1" applyFill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5" xfId="0" applyFill="1" applyBorder="1"/>
    <xf numFmtId="0" fontId="0" fillId="8" borderId="8" xfId="0" applyFill="1" applyBorder="1"/>
    <xf numFmtId="0" fontId="0" fillId="8" borderId="4" xfId="0" applyFill="1" applyBorder="1"/>
    <xf numFmtId="0" fontId="0" fillId="8" borderId="6" xfId="0" applyFill="1" applyBorder="1"/>
    <xf numFmtId="0" fontId="0" fillId="8" borderId="7" xfId="0" applyFill="1" applyBorder="1"/>
    <xf numFmtId="0" fontId="1" fillId="0" borderId="0" xfId="0" applyFont="1"/>
    <xf numFmtId="14" fontId="0" fillId="8" borderId="2" xfId="0" applyNumberFormat="1" applyFill="1" applyBorder="1"/>
    <xf numFmtId="0" fontId="11" fillId="0" borderId="5" xfId="0" applyFont="1" applyBorder="1"/>
    <xf numFmtId="0" fontId="12" fillId="0" borderId="5" xfId="0" applyFont="1" applyBorder="1"/>
    <xf numFmtId="0" fontId="0" fillId="15" borderId="5" xfId="0" applyFill="1" applyBorder="1"/>
    <xf numFmtId="0" fontId="0" fillId="15" borderId="4" xfId="0" applyFill="1" applyBorder="1"/>
    <xf numFmtId="0" fontId="0" fillId="15" borderId="0" xfId="0" applyFill="1"/>
    <xf numFmtId="0" fontId="0" fillId="15" borderId="1" xfId="0" applyFill="1" applyBorder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0" fontId="0" fillId="8" borderId="30" xfId="0" applyFill="1" applyBorder="1"/>
    <xf numFmtId="0" fontId="1" fillId="8" borderId="5" xfId="0" applyFont="1" applyFill="1" applyBorder="1"/>
    <xf numFmtId="0" fontId="0" fillId="11" borderId="3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2" borderId="3" xfId="0" applyFill="1" applyBorder="1"/>
    <xf numFmtId="0" fontId="13" fillId="12" borderId="0" xfId="0" applyFont="1" applyFill="1"/>
    <xf numFmtId="0" fontId="0" fillId="12" borderId="7" xfId="0" applyFill="1" applyBorder="1"/>
    <xf numFmtId="0" fontId="0" fillId="12" borderId="8" xfId="0" applyFill="1" applyBorder="1"/>
    <xf numFmtId="0" fontId="0" fillId="12" borderId="1" xfId="0" applyFill="1" applyBorder="1"/>
    <xf numFmtId="0" fontId="0" fillId="12" borderId="4" xfId="0" applyFill="1" applyBorder="1"/>
    <xf numFmtId="0" fontId="0" fillId="12" borderId="6" xfId="0" applyFill="1" applyBorder="1"/>
    <xf numFmtId="0" fontId="0" fillId="3" borderId="5" xfId="0" applyFill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0" fillId="14" borderId="27" xfId="0" applyFont="1" applyFill="1" applyBorder="1" applyAlignment="1">
      <alignment horizontal="center" vertical="center"/>
    </xf>
    <xf numFmtId="0" fontId="10" fillId="14" borderId="29" xfId="0" applyFont="1" applyFill="1" applyBorder="1" applyAlignment="1">
      <alignment horizontal="center" vertical="center"/>
    </xf>
    <xf numFmtId="0" fontId="10" fillId="14" borderId="28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5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0" borderId="29" xfId="0" applyBorder="1"/>
    <xf numFmtId="0" fontId="0" fillId="11" borderId="29" xfId="0" applyFill="1" applyBorder="1"/>
    <xf numFmtId="0" fontId="0" fillId="0" borderId="2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Border="1"/>
    <xf numFmtId="0" fontId="3" fillId="15" borderId="1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12" borderId="5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179294</xdr:colOff>
      <xdr:row>3</xdr:row>
      <xdr:rowOff>145677</xdr:rowOff>
    </xdr:from>
    <xdr:to>
      <xdr:col>17</xdr:col>
      <xdr:colOff>530483</xdr:colOff>
      <xdr:row>22</xdr:row>
      <xdr:rowOff>28362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111E43B-B082-4182-8CA2-42CD4158B99B}"/>
                </a:ext>
              </a:extLst>
            </xdr14:cNvPr>
            <xdr14:cNvContentPartPr/>
          </xdr14:nvContentPartPr>
          <xdr14:nvPr macro=""/>
          <xdr14:xfrm>
            <a:off x="8281147" y="728383"/>
            <a:ext cx="5192130" cy="3692685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111E43B-B082-4182-8CA2-42CD4158B99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664713" y="1694295"/>
              <a:ext cx="5209769" cy="37103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1993118</xdr:colOff>
      <xdr:row>13</xdr:row>
      <xdr:rowOff>141193</xdr:rowOff>
    </xdr:from>
    <xdr:to>
      <xdr:col>10</xdr:col>
      <xdr:colOff>1196264</xdr:colOff>
      <xdr:row>32</xdr:row>
      <xdr:rowOff>166753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4852069-D5F3-0802-CF53-61C37464552C}"/>
                </a:ext>
              </a:extLst>
            </xdr14:cNvPr>
            <xdr14:cNvContentPartPr/>
          </xdr14:nvContentPartPr>
          <xdr14:nvPr macro=""/>
          <xdr14:xfrm>
            <a:off x="10901794" y="2617693"/>
            <a:ext cx="5198294" cy="3701089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4852069-D5F3-0802-CF53-61C3746455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513150" y="1962674"/>
              <a:ext cx="5209769" cy="37103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1895475</xdr:colOff>
      <xdr:row>1</xdr:row>
      <xdr:rowOff>152400</xdr:rowOff>
    </xdr:from>
    <xdr:to>
      <xdr:col>6</xdr:col>
      <xdr:colOff>2102669</xdr:colOff>
      <xdr:row>21</xdr:row>
      <xdr:rowOff>43489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C4A674A-6DE1-4218-A727-AB7D11577F14}"/>
                </a:ext>
              </a:extLst>
            </xdr14:cNvPr>
            <xdr14:cNvContentPartPr/>
          </xdr14:nvContentPartPr>
          <xdr14:nvPr macro=""/>
          <xdr14:xfrm>
            <a:off x="2505075" y="342900"/>
            <a:ext cx="5198294" cy="3701089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4852069-D5F3-0802-CF53-61C3746455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513150" y="1962674"/>
              <a:ext cx="5209769" cy="37103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423333</xdr:colOff>
      <xdr:row>4</xdr:row>
      <xdr:rowOff>52918</xdr:rowOff>
    </xdr:from>
    <xdr:to>
      <xdr:col>19</xdr:col>
      <xdr:colOff>499294</xdr:colOff>
      <xdr:row>23</xdr:row>
      <xdr:rowOff>134507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75CFE66-3830-4ADB-8C89-D27CEC058C52}"/>
                </a:ext>
              </a:extLst>
            </xdr14:cNvPr>
            <xdr14:cNvContentPartPr/>
          </xdr14:nvContentPartPr>
          <xdr14:nvPr macro=""/>
          <xdr14:xfrm>
            <a:off x="9059333" y="814918"/>
            <a:ext cx="5198294" cy="3701089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4852069-D5F3-0802-CF53-61C3746455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513150" y="1962674"/>
              <a:ext cx="5209769" cy="37103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8</xdr:row>
      <xdr:rowOff>2865</xdr:rowOff>
    </xdr:from>
    <xdr:to>
      <xdr:col>4</xdr:col>
      <xdr:colOff>76200</xdr:colOff>
      <xdr:row>21</xdr:row>
      <xdr:rowOff>91114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6738E67-7692-4C3F-BC6C-BC39E83E875F}"/>
                </a:ext>
              </a:extLst>
            </xdr14:cNvPr>
            <xdr14:cNvContentPartPr/>
          </xdr14:nvContentPartPr>
          <xdr14:nvPr macro=""/>
          <xdr14:xfrm>
            <a:off x="733425" y="1612590"/>
            <a:ext cx="3629025" cy="2583799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4852069-D5F3-0802-CF53-61C3746455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513150" y="1962674"/>
              <a:ext cx="5209769" cy="371032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464910</xdr:colOff>
      <xdr:row>5</xdr:row>
      <xdr:rowOff>11685</xdr:rowOff>
    </xdr:from>
    <xdr:to>
      <xdr:col>11</xdr:col>
      <xdr:colOff>322950</xdr:colOff>
      <xdr:row>14</xdr:row>
      <xdr:rowOff>164145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4A0CC73-F6CF-847A-15A8-E5DD3D99645E}"/>
                </a:ext>
              </a:extLst>
            </xdr14:cNvPr>
            <xdr14:cNvContentPartPr/>
          </xdr14:nvContentPartPr>
          <xdr14:nvPr macro=""/>
          <xdr14:xfrm>
            <a:off x="6808560" y="973710"/>
            <a:ext cx="4125240" cy="18669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4A0CC73-F6CF-847A-15A8-E5DD3D99645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99560" y="964710"/>
              <a:ext cx="4142880" cy="1884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12</xdr:row>
      <xdr:rowOff>32830</xdr:rowOff>
    </xdr:from>
    <xdr:to>
      <xdr:col>2</xdr:col>
      <xdr:colOff>3114675</xdr:colOff>
      <xdr:row>19</xdr:row>
      <xdr:rowOff>47685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B468251-1AC1-4522-A309-C6B6FF399B95}"/>
                </a:ext>
              </a:extLst>
            </xdr14:cNvPr>
            <xdr14:cNvContentPartPr/>
          </xdr14:nvContentPartPr>
          <xdr14:nvPr macro=""/>
          <xdr14:xfrm>
            <a:off x="1333500" y="2366455"/>
            <a:ext cx="3000375" cy="1357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468251-1AC1-4522-A309-C6B6FF399B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24501" y="2357455"/>
              <a:ext cx="3018014" cy="137551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40:05.34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296 1266 24575,'-5'13'0,"0"0"0,1 0 0,0 0 0,-3 24 0,-4 15 0,-78 318-714,-45 402 1,113-569 240,9 1 0,9 0 1,38 347-1,-5-354 473,108 378 0,-94-443 0,6-2 0,5-2 0,118 199 0,-146-283-37,2-2-1,2 0 1,1-2-1,2-2 1,2-1-1,70 57 1,-87-80 27,2 0 1,0-2 0,0 0 0,1-1-1,0-1 1,1-1 0,0-1 0,0-2-1,1 0 1,0-1 0,0-1 0,1-1-1,-1-2 1,0 0 0,1-2-1,27-3 1,-13-3 9,0-2 0,0-1 0,-1-2 0,40-19 0,-2-4-162,124-80 0,121-118-1134,33-88 607,20-92-767,-209 196 1059,-10-7 0,-10-6 0,-10-7 0,183-445 0,-202 372 9,-14-4 0,-13-4 0,74-518 0,-121 448 226,-28 98 538,-13 217 314,-4 0 1,-17-115-1,18 179-515,0-1 0,0 1 1,-1 0-1,0 0 0,-7-13 1,10 21-117,0 0 1,-1 0 0,1 1-1,0-1 1,-1 0 0,1 0 0,-1 1-1,1-1 1,-1 1 0,1-1-1,-1 0 1,0 1 0,1-1-1,-1 1 1,0-1 0,1 1-1,-1 0 1,0-1 0,1 1-1,-1 0 1,0-1 0,0 1 0,0 0-1,1 0 1,-1 0 0,0-1-1,0 1 1,0 0 0,1 0-1,-1 0 1,0 1 0,0-1-1,0 0 1,0 0 0,1 0-1,-1 1 1,0-1 0,0 0 0,1 0-1,-1 1 1,0-1 0,1 1-1,-2 0 1,-6 6 109,2 1 0,-1-1 0,1 1-1,0 0 1,0 1 0,-5 11 0,-164 351 2470,172-363-2651,-141 347-378,-35 133-1169,-20 127 402,-269 1180-1337,354-1195 1823,-36 633-1,129-671 367,43-100-918,36-97 812,-39-285 376,3 0-1,4-1 1,3-1 0,45 85 0,-58-133 472,1-1 0,1-1 0,1 0 0,43 46 1,-55-67-234,-1 0 1,2-1 0,-1 0 0,0 0-1,1 0 1,0-1 0,1-1 0,-1 1 0,1-1-1,0-1 1,0 1 0,0-2 0,0 1-1,0-1 1,1 0 0,-1-1 0,1 0 0,-1-1-1,1 0 1,-1-1 0,12-1 0,-7-1 130,0-2 1,0 1 0,0-2-1,0 0 1,25-15 0,-5-2-41,33-27-1,38-40 245,97-109 1,78-117-1175,-116 114 576,147-235 0,-275 378 113,-2-2 1,-3-2-1,-2 0 0,-3-2 1,-4-1-1,-2-1 0,-3-1 1,-3 0-1,-3-1 0,-3 0 1,-3-1-1,-5-76 0,-2 114-54,-1-1 0,-2 1 0,-1 0 0,-2 1 0,-12-33 0,7 42 0,12 22 0,1-1 0,0 1 0,-1 0 0,1 0 0,0 0 0,-1 0 0,1-1 0,-1 1 0,1 0 0,0 0 0,-1 0 0,1 0 0,-1 0 0,1 0 0,0 0 0,-1 0 0,1 0 0,-1 0 0,1 0 0,0 0 0,-1 0 0,1 1 0,0-1 0,-1 0 0,1 0 0,-1 0 0,1 0 0,0 1 0,-1-1 0,1 0 0,0 0 0,-1 1 0,-1 3 0,-1-1 0,1 1 0,0 0 0,0 0 0,0 0 0,1 0 0,-1 0 0,1 0 0,-1 5 0,-50 290 0,24 11 0,12-122 0,-38 478 0,38-6 0,16-656 0,0 0 0,0 0 0,0 0 0,1 1 0,-1-1 0,1 0 0,2 6 0,-2-9 0,-1-1 0,0 0 0,0 0 0,0 0 0,1 0 0,-1 0 0,0 0 0,0 0 0,0 0 0,1 0 0,-1 0 0,0 0 0,0 0 0,1-1 0,-1 1 0,0 0 0,0 0 0,0 0 0,1 0 0,-1 0 0,0 0 0,0 0 0,0-1 0,0 1 0,1 0 0,-1 0 0,0 0 0,0 0 0,0-1 0,0 1 0,0 0 0,0 0 0,1 0 0,-1 0 0,0-1 0,0 1 0,0 0 0,0 0 0,0-1 0,0 1 0,0 0 0,11-28 0,20-90-54,31-231 0,-55 297-32,87-795-544,-36-7 290,-33 196 245,-24 625 77,-2 21 42,1 0-1,1 0 1,0 0-1,1 0 0,0 0 1,0 1-1,2-1 1,5-15-1,-8 25 10,1 1-1,-1-1 0,0 0 0,1 1 1,-1-1-1,1 1 0,0 0 0,-1-1 1,1 1-1,0 0 0,0 0 0,0 0 1,-1 0-1,1 1 0,0-1 0,0 0 1,1 1-1,-1-1 0,0 1 0,0 0 1,0 0-1,0 0 0,0 0 1,0 0-1,0 0 0,0 0 0,0 1 1,0-1-1,0 1 0,0 0 0,0-1 1,0 1-1,0 0 0,2 2 0,2-1-38,1 1 0,-1 0-1,-1 1 1,1 0 0,-1 0 0,1 0-1,-1 0 1,0 1 0,7 8-1,-9-7 7,0-1 0,0 1 0,0 0 0,-1 0 0,0 0 0,0 0 0,-1 0 0,1 1 0,-1-1 0,-1 0 0,1 1 0,-1-1 0,0 1 0,-1-1 0,1 0 0,-1 1 0,-1-1 0,1 0 0,-1 0 0,0 0 0,-4 10 0,-7 10 0,0 0 0,-2-1 0,-27 34 0,24-33 0,-5 6 0,4-7 0,2 0 0,0 2 0,2 0 0,-13 33 0,27-58 0,0 0 0,0 1 0,1-1 0,-1 0 0,1 1 0,0-1 0,0 1 0,0-1 0,0 0 0,0 1 0,1-1 0,-1 1 0,1-1 0,-1 0 0,1 1 0,0-1 0,0 0 0,0 0 0,0 1 0,0-1 0,1 0 0,-1 0 0,0 0 0,1-1 0,0 1 0,-1 0 0,1-1 0,0 1 0,0-1 0,0 1 0,0-1 0,4 2 0,6 3 0,0-1 0,0 0 0,0 0 0,0-2 0,15 4 0,39 5 0,135 7 0,71-20 0,-206-2 0,-1-2 0,0-4 0,72-18 0,-113 21 0,-1-2 0,0-1 0,-1 0 0,41-25 0,-51 26 0,0-1 0,0 0 0,-1-1 0,-1 0 0,1 0 0,-2-1 0,0-1 0,0 1 0,9-17 0,-12 16 0,0-1 0,-1 1 0,0-2 0,-1 1 0,-1 0 0,0-1 0,-1 1 0,0-1 0,-1 0 0,0 0 0,-1 1 0,-3-22 0,2 32 0,1-1 0,-1 1 0,0 0 0,0 0 0,0 0 0,0 0 0,0 0 0,-1 0 0,1 0 0,-1 0 0,0 1 0,0-1 0,0 1 0,0-1 0,0 1 0,0-1 0,-1 1 0,1 0 0,-1 0 0,0 1 0,0-1 0,0 0 0,1 1 0,-1 0 0,0 0 0,-1-1 0,1 2 0,0-1 0,0 0 0,-4 0 0,-9 0 0,0 0 0,0 1 0,-1 1 0,-27 5 0,37-5 0,-63 9 0,-113 33 0,157-36 0,0 2 0,1 1 0,1 2 0,0 0 0,0 1 0,1 1 0,-32 27 0,48-36 0,1 1 0,0 0 0,1 1 0,0-1 0,0 1 0,0 0 0,1 1 0,0-1 0,0 1 0,1-1 0,0 1 0,0 0 0,1 1 0,-3 15 0,4-19 0,1 0 0,0 0 0,1 0 0,-1 0 0,1 0 0,0 0 0,0 0 0,0 0 0,1 0 0,0 0 0,0-1 0,0 1 0,0-1 0,1 1 0,-1-1 0,1 0 0,0 0 0,1 0 0,-1 0 0,1-1 0,0 1 0,0-1 0,0 0 0,0 0 0,9 4 0,-6-4 0,0 0 0,0 0 0,0-1 0,1 0 0,-1 0 0,1 0 0,-1-1 0,1-1 0,0 1 0,0-1 0,-1-1 0,1 1 0,0-1 0,-1 0 0,1-1 0,-1 0 0,1 0 0,7-4 0,5-3 0,1 0 0,-2-2 0,1 0 0,-2-1 0,24-19 0,44-45-45,-3-3 0,-4-4 0,76-103 0,-94 109-108,-3-4 0,-4-2 0,-3-2-1,-5-2 1,-3-3 0,-4-1 0,30-104 0,-38 78-174,-5-2 0,-6-1 0,-5 0 0,0-126-1,-15 99 339,-7-1 1,-52-286-1,37 328-147,-5 1 0,-48-120 1,54 175 85,-1 1 0,-2 1 0,-3 2 0,-1 0 1,-3 1-1,-42-47 0,65 83 94,0 0 0,-1 1 0,1 0 1,-2 0-1,1 1 0,-1 0 0,-18-9 1,25 15-14,-1-1 0,1 1 0,-1 1 0,1-1 1,-1 0-1,1 1 0,-1 0 0,0 0 0,1 0 1,-1 0-1,0 0 0,1 1 0,-1 0 0,1-1 0,-1 1 1,1 1-1,-1-1 0,1 0 0,0 1 0,-1 0 1,1 0-1,0 0 0,0 0 0,0 0 0,1 1 1,-1-1-1,0 1 0,-2 4 0,-11 11 174,1 1 0,1 1 0,1 0 0,-11 25 0,-44 106 387,64-142-590,-97 256-226,-14 104-675,-5 122 15,-39 433-2304,45 493 3079,106-959-130,18-92-713,16-93 696,5-106 180,-24-144 127,0 0-1,1 0 0,1-1 1,17 30-1,-21-44 116,-1 0 0,1-1 0,0 0 0,1 0-1,0-1 1,0 0 0,0 0 0,1 0 0,0 0 0,0-1 0,0-1 0,1 1 0,-1-1 0,1 0-1,0-1 1,1 0 0,-1 0 0,0 0 0,1-1 0,-1-1 0,1 1 0,0-2 0,0 1 0,-1-1-1,1 0 1,12-3 0,1 0 119,-1-2 0,-1-1-1,1-1 1,-1 0 0,0-1-1,0-2 1,-1 0 0,-1-1-1,27-20 1,84-73-217,123-131-1,-215 198-67,-1-1 0,-2-2 0,-1-2 0,-3-1 0,-1-1 0,-2-1 0,-3-2 0,-1 0 0,-3-2 0,-1 0 0,-3-2 0,-2 1 0,-2-2 0,-3 1 0,6-95 0,-16 108 0,-2 1 0,-1 0 0,-2 0 0,-1 0 0,-2 1 0,-2 0 0,-1 0 0,-27-53 0,38 86 0,-1 0 0,1 0 0,-1 0 0,0 0 0,0 0 0,0 0 0,0 1 0,0-1 0,-1 1 0,1-1 0,-1 1 0,0 0 0,0 0 0,1 0 0,-1 0 0,-4-1 0,5 3 0,0-1 0,0 1 0,0 0 0,0 0 0,0 0 0,0 0 0,0 1 0,0-1 0,0 0 0,0 1 0,0-1 0,0 1 0,1 0 0,-1 0 0,0 0 0,0 0 0,1 0 0,-1 0 0,0 0 0,1 0 0,0 0 0,-1 1 0,1-1 0,-1 1 0,1-1 0,0 1 0,0 0 0,-1 1 0,-4 8 0,0 1 0,0-1 0,1 1 0,1 0 0,0 0 0,0 0 0,1 0 0,1 1 0,0-1 0,1 1 0,0 0 0,1-1 0,1 1 0,3 24 0,-4-35 0,1 0 0,-1-1 0,1 1 0,0 0 0,-1 0 0,1-1 0,0 1 0,0-1 0,0 1 0,0-1 0,0 1 0,0-1 0,1 0 0,-1 1 0,0-1 0,1 0 0,-1 0 0,1 0 0,-1 0 0,1 0 0,0 0 0,-1 0 0,3 0 0,0 0 0,0-1 0,-1 0 0,1 1 0,-1-1 0,1-1 0,0 1 0,-1 0 0,1-1 0,-1 0 0,1 0 0,3-1 0,8-4 0,0-1 0,-1-1 0,0 0 0,14-10 0,-4-1 0,-18 14 0,0-1 0,1 1 0,-1 0 0,1 1 0,9-4 0,-14 7 0,0 0 0,0 1 0,-1-1 0,1 1 0,0-1 0,0 1 0,0 0 0,0 0 0,0 0 0,0 0 0,0 0 0,0 0 0,0 0 0,-1 1 0,1-1 0,0 1 0,0-1 0,0 1 0,0 0 0,-1 0 0,1 0 0,0 0 0,-1 0 0,1 0 0,-1 0 0,3 3 0,2 2 0,-1 1 0,0-1 0,-1 1 0,1 0 0,-1 0 0,3 9 0,-6-12 0,1 1 0,0-1 0,0 0 0,0 1 0,0-1 0,1 0 0,0 0 0,0-1 0,0 1 0,0-1 0,0 1 0,1-1 0,0 0 0,-1 0 0,1 0 0,0-1 0,1 0 0,-1 1 0,0-1 0,1-1 0,6 3 0,12-1 0,0 0 0,0-2 0,1 0 0,-1-2 0,1 0 0,-1-2 0,0-1 0,0 0 0,-1-2 0,1 0 0,-1-2 0,0-1 0,22-12 0,5-5 0,-3-2 0,0-2 0,-2-1 0,62-58 0,-58 42-73,-2-2-1,-1-1 0,-3-3 0,-3-1 1,61-111-1,-59 83-36,-4-2-1,-4-1 1,42-164-1,-40 77-88,-8-2 0,-7-1 0,-3-223 0,-62-525-680,11 559 602,22 286 277,12 78 0,0 0 0,0-1 1,0 1-1,0 0 0,0 0 0,0 0 1,0 0-1,0 0 0,0 0 0,0-1 1,0 1-1,0 0 0,0 0 0,0 0 1,0 0-1,0 0 0,0-1 0,0 1 1,0 0-1,0 0 0,0 0 0,0 0 1,0 0-1,0 0 0,0-1 0,0 1 1,0 0-1,0 0 0,0 0 0,0 0 0,0 0 1,0 0-1,-1-1 0,1 1 0,0 0 1,0 0-1,0 0 0,0 0 0,0 0 1,0 0-1,0 0 0,-1 0 0,1 0 1,0 0-1,0 0 0,0 0 0,0 0 1,0 0-1,-1 0 0,1 0 0,0 0 1,0 0-1,0 0 0,0 0 0,0 0 1,0 0-1,-1 0 0,1 0 0,0 0 1,0 0-1,0 0 0,0 0 0,0 0 1,-1 0-1,1 0 0,0 0 0,0 0 1,-4 20 115,-2 245 503,6-183-575,4 293-362,9 150-952,11 141 184,73 1061-2766,62-5 2196,-115-1372 1323,-12-139 333,-29-192 119,1-1 0,11 33 0,-15-51-108,0 0 0,0 0-1,0 1 1,0-1 0,0 0 0,0 0 0,0 0-1,0 0 1,0 1 0,0-1 0,0 0 0,0 0 0,0 0-1,0 0 1,0 0 0,0 1 0,0-1 0,0 0-1,0 0 1,1 0 0,-1 0 0,0 0 0,0 0 0,0 0-1,0 1 1,0-1 0,0 0 0,1 0 0,-1 0-1,0 0 1,0 0 0,0 0 0,0 0 0,0 0-1,1 0 1,-1 0 0,0 0 0,0 0 0,0 0 0,0 0-1,1 0 1,-1 0 0,0 0 0,0 0 0,0 0-1,0 0 1,0 0 0,1 0 0,-1 0 0,0 0 0,0 0-1,0 0 1,0-1 0,0 1 0,1 0 0,-1 0-1,0 0 1,0 0 0,0 0 0,0 0 0,0 0-1,0-1 1,0 1 0,0 0 0,1 0 0,4-23 703,1-231-385,-7 213-301,-36-623 1996,17 504-1349,-7 1 0,-54-178 0,54 252-383,-4 1 1,-3 2-1,-4 2 0,-72-115 0,69 135-49,-2 2 1,-3 2-1,-2 2 0,-2 2 1,-110-87-1,72 80-253,59 42 107,-49-41 0,77 57-64,0 0 1,-1-1-1,1 1 1,0 0-1,0 0 1,0-1-1,0 1 1,0 0-1,0-1 1,0 1-1,0-1 1,1 0-1,-1 1 1,0-1 0,1 1-1,0-1 1,-1 0-1,1 0 1,0 1-1,0-1 1,0 0-1,0-1 1,1-1-14,0 0 0,0 0 1,1 1-1,0-1 1,-1 1-1,1-1 0,0 1 1,1 0-1,3-5 0,26-28 35,2 1 1,1 2-1,2 1 0,45-29 0,-35 26-46,-39 29-9,131-101 0,171-98 0,-308 203 0,8-3 0,0 0 0,-1 0 0,21-6 0,-29 11 0,0-1 0,0 1 0,0-1 0,1 1 0,-1 0 0,0 0 0,0-1 0,0 1 0,0 0 0,0 0 0,0 0 0,0 0 0,0 1 0,0-1 0,1 0 0,-1 0 0,0 1 0,0-1 0,0 0 0,0 1 0,0-1 0,0 1 0,0-1 0,0 1 0,-1 0 0,1-1 0,0 1 0,0 0 0,0 0 0,-1 0 0,1-1 0,0 1 0,-1 0 0,1 0 0,-1 0 0,1 0 0,-1 0 0,1 0 0,-1 0 0,0 0 0,1 0 0,-1 0 0,0 1 0,0-1 0,0 0 0,0 0 0,0 1 0,-1 13 0,0-1 0,-1 1 0,-4 14 0,3-15 0,1 0 0,0 0 0,0 0 0,1 0 0,2 19 0,-1-30 0,1 1 0,0-1 0,-1 1 0,2-1 0,-1 1 0,0-1 0,1 0 0,-1 0 0,1 0 0,0 0 0,0 0 0,0 0 0,0 0 0,1-1 0,-1 1 0,1-1 0,0 1 0,-1-1 0,1 0 0,0 0 0,0 0 0,1-1 0,-1 1 0,0-1 0,7 2 0,7 2 0,0-1 0,0-2 0,1 1 0,-1-2 0,0 0 0,1-1 0,-1-1 0,1-1 0,-1 0 0,0-1 0,0-1 0,0-1 0,22-8 0,-21 6 0,-1-1 0,0 0 0,0-1 0,-1-1 0,0-1 0,-1 0 0,0-1 0,-1 0 0,0-1 0,-1-1 0,-1 0 0,13-19 0,-17 20 0,-2 1 0,0-1 0,0 0 0,-1 0 0,-1-1 0,0 0 0,-1 1 0,-1-1 0,0-1 0,0-16 0,-1 23 0,-2 1 0,1-1 0,-1 1 0,-1-1 0,1 1 0,-1 0 0,0 0 0,-1-1 0,-4-7 0,5 11 0,-1 0 0,0 0 0,0 0 0,0 0 0,0 0 0,0 1 0,-1-1 0,0 1 0,0 0 0,0 0 0,0 0 0,0 1 0,-1-1 0,-8-2 0,7 3 0,-1 1 0,1 0 0,0 0 0,-1 1 0,1-1 0,-1 2 0,1-1 0,-1 1 0,1 0 0,0 0 0,-1 0 0,1 1 0,0 0 0,0 1 0,0-1 0,0 1 0,1 0 0,-1 1 0,1-1 0,0 1 0,-6 5 0,1-1 0,0 0 0,1 1 0,0 0 0,1 1 0,0 0 0,0 0 0,1 1 0,0 0 0,-9 21 0,15-30 0,0 0 0,0 0 0,1 1 0,-1-1 0,1 0 0,-1 1 0,1-1 0,0 0 0,0 1 0,0-1 0,0 1 0,0-1 0,0 0 0,1 1 0,-1-1 0,1 0 0,0 1 0,0-1 0,0 0 0,0 0 0,0 0 0,0 0 0,0 0 0,1 0 0,-1 0 0,1 0 0,-1 0 0,1 0 0,0-1 0,0 1 0,0-1 0,0 0 0,3 2 0,4 2 0,1 0 0,0-1 0,0-1 0,0 0 0,1 0 0,15 2 0,30 2 0,1-2 0,-1-3 0,1-2 0,0-3 0,84-15 0,-42-1 0,0-5 0,112-42 0,-175 54 0,-1-1 0,-1-2 0,0-1 0,-1-1 0,47-34 0,-76 47 0,0 1 0,0-1 0,0 0 0,-1 0 0,1 0 0,-1 0 0,0-1 0,0 1 0,2-7 0,-4 10 0,-1 0 0,0 0 0,1 0 0,-1-1 0,0 1 0,0 0 0,0 0 0,1 0 0,-1 0 0,-1 0 0,1 0 0,0-1 0,0 1 0,0 0 0,0 0 0,-1 0 0,1 0 0,-1 0 0,1 0 0,-1 0 0,1 0 0,-1 0 0,1 0 0,-1 0 0,0 0 0,1 0 0,-1 0 0,0 1 0,0-1 0,0 0 0,0 1 0,0-1 0,0 0 0,0 1 0,0-1 0,0 1 0,0-1 0,0 1 0,0 0 0,0 0 0,0-1 0,0 1 0,-1 0 0,1 0 0,0 0 0,-1 0 0,-6 0 0,1 0 0,0 0 0,-1 1 0,1 0 0,0 0 0,-1 0 0,1 1 0,0 0 0,0 1 0,0 0 0,0 0 0,1 0 0,-1 1 0,-7 5 0,-3 3 0,0 1 0,1 0 0,-28 29 0,36-33 0,0 1 0,0 0 0,1 1 0,-10 21 0,14-26 0,1-1 0,-1 1 0,1 0 0,1 0 0,-1 0 0,1 0 0,0 1 0,1-1 0,-1 0 0,1 0 0,2 12 0,-2-16 0,0-1 0,1 1 0,-1-1 0,0 1 0,1-1 0,0 1 0,-1-1 0,1 0 0,0 1 0,0-1 0,0 0 0,0 1 0,0-1 0,0 0 0,0 0 0,0 0 0,1 0 0,-1 0 0,0 0 0,0 0 0,1-1 0,-1 1 0,1 0 0,-1-1 0,1 1 0,-1-1 0,3 1 0,2 0 0,0-1 0,-1 0 0,1 0 0,-1 0 0,1-1 0,10-2 0,14-5 0,0-1 0,-2-2 0,1 0 0,-1-2 0,37-24 0,-19 8 0,-2-2 0,54-50 0,-59 43-36,-2-1-1,-2-3 1,-2 0 0,-1-3-1,-3 0 1,-1-2-1,-3-1 1,-1-1-1,-3 0 1,-2-2-1,16-71 1,-15 34-33,-4-2-1,-3 0 1,-5 0-1,-4-1 1,-4 0-1,-11-91 0,-2 81 70,-4 0 0,-4 1 0,-5 0 0,-53-130 0,34 122 0,-5 2 0,-5 3 0,-104-149 0,135 217 0,-2 1 0,-1 2 0,-56-53 0,81 83 0,-2-1 0,1 0 0,0 1 0,0 0 0,-1 0 0,1 0 0,-1 0 0,0 0 0,0 1 0,-4-2 0,7 3 0,0 0 0,0 0 0,0 0 0,1 0 0,-1 0 0,0 0 0,0 0 0,0 1 0,1-1 0,-1 0 0,0 0 0,0 1 0,1-1 0,-1 1 0,0-1 0,1 0 0,-1 1 0,0-1 0,1 1 0,-1 0 0,0 0 0,-1 1 0,1 1 0,0-1 0,-1 1 0,1-1 0,0 1 0,1-1 0,-1 1 0,0-1 0,0 5 0,-1 17 0,1 0 0,3 44 0,22 146 0,32 140-472,48 177-1419,52 179 495,59 155-2296,57 110 2151,973 2717-4055,-1030-3124 5465,-60-169 436,-143-368-164,140 329 1971,-129-314-293,-23-46-1768,0 0-1,1 0 1,-1 0-1,0 0 1,0 0-1,0 0 1,0 0-1,0 0 0,0 0 1,0 0-1,0 0 1,0 0-1,0 0 1,0 0-1,0 0 1,0 0-1,1 0 1,-13-28 884,-236-484 4584,-189-236-3747,25 167-1780,-23 18 73,343 445-11,41 53 251,-232-317-143,242 319 100,4-2 0,2-1 0,3-1-1,-31-96 1,61 156-239,-1-1 1,1 1-1,1 0 1,0-1-1,0 1 1,0-1-1,1 0 1,0 1 0,0-1-1,2-7 1,0 7-26,1 1 1,0-1 0,0 1-1,0 0 1,1 0 0,1 1-1,-1-1 1,1 1 0,0 0 0,7-8-1,34-30 2,1 1 0,76-51 0,76-45 0,87-51-503,104-62-1508,106-66 791,-434 279 768,957-621-2675,-19-32 2853,-673 444-805,-101 60 800,-172 140 376,-1-2 0,52-65-1,-102 112 6,-1 0-1,1-1 1,-1 1-1,0-1 1,0 0 0,0 0-1,2-6 1,-4 10-65,0-1 1,0 0 0,1 1 0,-1-1 0,0 0 0,0 1-1,0-1 1,0 0 0,0 1 0,0-1 0,0 0-1,-1 1 1,1-1 0,0 1 0,0-1 0,0 0-1,-1 1 1,1-1 0,0 1 0,-1-1 0,1 0-1,0 1 1,-1-1 0,1 1 0,-1-1 0,1 1 0,-1-1-1,0 1 1,-3-2 247,0 1-1,-1 0 1,1 0 0,0 1-1,0-1 1,-1 1-1,1 0 1,0 0 0,-1 1-1,1-1 1,-8 3-1,-211 53 2980,0 0-3197,168-44-380,-99 37 0,130-40-426,1-1-6087</inkml:trace>
  <inkml:trace contextRef="#ctx0" brushRef="#br0" timeOffset="1">11850 4977 24575</inkml:trace>
  <inkml:trace contextRef="#ctx0" brushRef="#br0" timeOffset="2">12205 5532 24575,'4'0'0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30T04:39:46.16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296 1273 24575,'-5'13'0,"0"0"0,1 0 0,0 0 0,-3 25 0,-4 14 0,-78 320-714,-45 404 1,113-572 240,9 1 0,9 1 1,38 348-1,-5-356 473,108 380 0,-94-445 0,6-3 0,5-1 0,118 200 0,-146-285-37,2-2-1,2 1 1,1-3-1,2-2 1,2-1-1,70 58 1,-87-81 27,2 0 1,0-2 0,0 0 0,1-1-1,0-1 1,1-1 0,0-1 0,0-2-1,1 0 1,0-1 0,0-1 0,1-1-1,-1-2 1,0 0 0,1-2-1,27-3 1,-13-3 9,0-2 0,0-1 0,-1-2 0,40-19 0,-2-4-162,124-81 0,122-118-1134,32-89 607,20-92-767,-209 197 1059,-10-8 0,-10-5 0,-10-7 0,183-448 0,-202 374 9,-14-4 0,-13-3 0,74-522 0,-121 451 226,-28 98 538,-13 219 314,-4 0 1,-17-117-1,18 181-515,0-1 0,0 1 1,-1 0-1,0 0 0,-7-13 1,10 21-117,0 0 1,-1 0 0,1 1-1,0-1 1,-1 0 0,1 0 0,-1 1-1,1-1 1,-1 1 0,1-1-1,-1 0 1,0 1 0,1-1-1,-1 1 1,0-1 0,1 1-1,-1 0 1,0-1 0,1 1-1,-1 0 1,0-1 0,0 1 0,0 0-1,1 0 1,-1 0 0,0-1-1,0 1 1,0 0 0,1 0-1,-1 0 1,0 1 0,0-1-1,0 0 1,0 0 0,1 0-1,-1 1 1,0-1 0,0 0 0,1 0-1,-1 1 1,0-1 0,1 1-1,-2 0 1,-6 6 109,2 1 0,-1-1 0,1 1-1,0 0 1,0 1 0,-5 11 0,-164 353 2470,172-364-2651,-141 347-378,-35 135-1169,-20 128 402,-269 1186-1337,354-1202 1823,-36 637-1,129-675 367,43-101-918,36-97 812,-39-286 376,3-1-1,4 0 1,3-2 0,45 86 0,-58-134 472,1-1 0,1 0 0,1-1 0,43 46 1,-55-67-234,-1 0 1,2-1 0,-1 0 0,0 0-1,1 0 1,0-1 0,1-1 0,-1 1 0,1 0-1,0-2 1,0 1 0,0-2 0,0 1-1,0-1 1,1 0 0,-1-1 0,1 0 0,-1-1-1,1 0 1,-1-1 0,12-1 0,-7-1 130,0-2 1,0 1 0,0-3-1,0 1 1,25-15 0,-5-2-41,33-27-1,38-41 245,97-109 1,78-117-1175,-116 113 576,147-235 0,-275 380 113,-2-3 1,-3-1-1,-2 0 0,-3-3 1,-4 0-1,-2-1 0,-3-2 1,-3 1-1,-3-2 0,-3 1 1,-3-1-1,-5-77 0,-2 115-54,-1-2 0,-2 2 0,-1 0 0,-2 1 0,-12-33 0,7 41 0,12 23 0,1-1 0,0 1 0,-1 0 0,1 0 0,0 0 0,-1 0 0,1-1 0,-1 1 0,1 0 0,0 0 0,-1 0 0,1 0 0,-1 0 0,1 0 0,0 0 0,-1 0 0,1 0 0,-1 0 0,1 0 0,0 0 0,-1 0 0,1 1 0,0-1 0,-1 0 0,1 0 0,-1 0 0,1 0 0,0 1 0,-1-1 0,1 0 0,0 0 0,-1 1 0,-1 3 0,-1 0 0,1 0 0,0 0 0,0 0 0,0 0 0,1 0 0,-1 0 0,1 0 0,-1 5 0,-50 291 0,24 12 0,12-123 0,-38 481 0,38-6 0,16-660 0,0 0 0,0 0 0,0 0 0,1 1 0,-1-1 0,1 0 0,2 6 0,-2-9 0,-1-1 0,0 0 0,0 0 0,0 0 0,1 0 0,-1 0 0,0 0 0,0 0 0,0 0 0,1 0 0,-1 0 0,0 0 0,0 0 0,1-1 0,-1 1 0,0 0 0,0 0 0,0 0 0,1 0 0,-1 0 0,0 0 0,0 0 0,0-1 0,0 1 0,1 0 0,-1 0 0,0 0 0,0 0 0,0-1 0,0 1 0,0 0 0,0 0 0,1 0 0,-1 0 0,0-1 0,0 1 0,0 0 0,0 0 0,0-1 0,0 1 0,0 0 0,11-28 0,20-91-54,31-232 0,-55 299-32,87-800-544,-36-7 290,-33 198 245,-24 627 77,-2 22 42,1 0-1,1 0 1,0 0-1,1 0 0,0 0 1,0 1-1,2-1 1,5-15-1,-8 25 10,1 1-1,-1-1 0,0 0 0,1 1 1,-1-1-1,1 1 0,0 0 0,-1-1 1,1 1-1,0 0 0,0 0 0,0 0 1,-1 0-1,1 1 0,0-1 0,0 0 1,1 1-1,-1-1 0,0 1 0,0 0 1,0 0-1,0 0 0,0 0 1,0 0-1,0 0 0,0 0 0,0 1 1,0-1-1,0 1 0,0 0 0,0-1 1,0 1-1,0 0 0,2 2 0,2-1-38,1 1 0,-1 0-1,-1 1 1,1 0 0,-1 0 0,1 0-1,-1 0 1,0 1 0,7 8-1,-9-7 7,0-1 0,0 1 0,0 0 0,-1 0 0,0 0 0,0 0 0,-1 0 0,1 1 0,-1-1 0,-1 0 0,1 1 0,-1-1 0,0 1 0,-1-1 0,1 0 0,-1 1 0,-1-1 0,1 1 0,-1-1 0,0 0 0,-4 10 0,-7 10 0,0 0 0,-2-1 0,-27 34 0,24-32 0,-5 5 0,4-7 0,2 0 0,0 2 0,2 0 0,-13 34 0,27-59 0,0 0 0,0 1 0,1-1 0,-1 0 0,1 1 0,0-1 0,0 1 0,0-1 0,0 0 0,0 1 0,1-1 0,-1 1 0,1-1 0,-1 0 0,1 1 0,0-1 0,0 0 0,0 0 0,0 1 0,0-1 0,1 0 0,-1 0 0,0 0 0,1-1 0,0 1 0,-1 0 0,1-1 0,0 1 0,0-1 0,0 1 0,0-1 0,4 2 0,6 3 0,0-1 0,0 0 0,0 0 0,0-2 0,15 4 0,39 5 0,135 7 0,71-20 0,-205-2 0,-2-2 0,0-4 0,72-18 0,-113 21 0,-1-2 0,0-1 0,-1 0 0,41-25 0,-51 26 0,0-1 0,0 0 0,-1-1 0,-1 0 0,1-1 0,-2 0 0,0-1 0,0 1 0,9-17 0,-12 16 0,0-1 0,-1 1 0,0-2 0,-1 1 0,-1 0 0,0-1 0,-1 1 0,0-2 0,-1 1 0,0 0 0,-1 1 0,-3-22 0,2 32 0,1-1 0,-1 1 0,0 0 0,0 0 0,0 0 0,0 0 0,0 0 0,-1 0 0,1 0 0,-1 0 0,0 1 0,0-1 0,0 1 0,0-1 0,0 1 0,0-1 0,-1 1 0,1 0 0,-1 0 0,0 1 0,0-1 0,0 0 0,1 1 0,-1 0 0,0 0 0,-1-1 0,1 2 0,0-1 0,0 0 0,-4 0 0,-9 0 0,0 0 0,0 1 0,-1 1 0,-27 5 0,37-5 0,-63 9 0,-113 33 0,157-36 0,0 2 0,1 1 0,1 2 0,0 0 0,0 1 0,1 1 0,-33 28 0,49-37 0,1 1 0,0 0 0,1 1 0,0-1 0,0 1 0,0 0 0,1 1 0,0-1 0,0 1 0,1-1 0,0 1 0,0 0 0,1 1 0,-3 15 0,4-19 0,1 0 0,0 0 0,1 0 0,-1 0 0,1 1 0,0-1 0,0 0 0,0 0 0,1 0 0,0 0 0,0-1 0,0 1 0,0-1 0,1 1 0,-1-1 0,1 0 0,0 0 0,1 0 0,-1 0 0,1-1 0,0 1 0,0-1 0,0 0 0,0 0 0,9 4 0,-6-4 0,0 0 0,0 0 0,0-1 0,2 0 0,-2 0 0,1 0 0,-1-1 0,1-1 0,0 1 0,0-1 0,-1-1 0,1 1 0,0-1 0,-1 0 0,1-1 0,-1 0 0,1 0 0,7-4 0,5-3 0,1 0 0,-2-2 0,1 0 0,-2-1 0,24-19 0,44-46-45,-3-2 0,-4-5 0,76-103 0,-94 110-108,-3-5 0,-4-1 0,-3-3-1,-5-1 1,-3-4 0,-4 0 0,30-105 0,-38 78-174,-5-1 0,-6-2 0,-5 0 0,0-126-1,-15 99 339,-7-1 1,-52-287-1,37 329-147,-5 2 0,-48-122 1,54 177 85,-1 1 0,-2 1 0,-3 1 0,-1 1 1,-3 1-1,-42-48 0,65 84 94,0 0 0,-1 1 0,1 0 1,-2 0-1,1 1 0,-1 0 0,-18-9 1,25 15-14,-1-1 0,1 1 0,-1 1 0,1-1 1,-1 0-1,1 1 0,-1 0 0,0 0 0,1 0 1,-1 0-1,0 0 0,1 1 0,-1 0 0,1-1 0,-1 1 1,1 1-1,-1-1 0,1 0 0,0 1 0,-1 0 1,1 0-1,0 0 0,0 0 0,0 0 0,1 1 1,-1-1-1,0 1 0,-2 4 0,-11 11 174,1 1 0,1 1 0,1 0 0,-11 26 0,-44 106 387,64-143-590,-97 257-226,-14 105-675,-5 123 15,-40 435-2304,46 496 3079,106-965-130,18-92-713,16-93 696,5-107 180,-24-145 127,0 0-1,1 0 0,1-1 1,17 31-1,-21-45 116,-1 0 0,1-1 0,0 0 0,1 0-1,0-1 1,0 0 0,0 0 0,1 0 0,0 0 0,1-1 0,-1-1 0,1 1 0,-1-1 0,1 0-1,0-1 1,1 0 0,-1 0 0,0 0 0,1-1 0,-1-1 0,1 1 0,0-2 0,0 1 0,-1-1-1,1 0 1,12-3 0,1 0 119,-1-2 0,-1-1-1,1-1 1,-1 0 0,0-1-1,0-2 1,-1 0 0,-1-1-1,27-20 1,84-74-217,123-131-1,-215 199-67,-1-2 0,-2-1 0,-1-2 0,-3-1 0,-1-2 0,-2 0 0,-3-2 0,-1 0 0,-3-3 0,-1 1 0,-3-2 0,-2 1 0,-2-3 0,-3 2 0,6-96 0,-16 109 0,-2 1 0,-1 0 0,-2-1 0,-1 1 0,-2 1 0,-2 0 0,-1 0 0,-27-54 0,38 87 0,-1 0 0,1 0 0,-1 0 0,0 0 0,0 0 0,0 0 0,0 1 0,0-1 0,-1 1 0,1-1 0,-1 1 0,0 0 0,0 0 0,1 0 0,-1 0 0,-4-1 0,5 3 0,0-1 0,0 1 0,0 0 0,0 0 0,0 0 0,0 0 0,0 1 0,0-1 0,0 0 0,0 1 0,0-1 0,0 1 0,1 0 0,-1 0 0,0 0 0,0 0 0,1 0 0,-1 0 0,0 0 0,1 0 0,0 0 0,-1 1 0,1-1 0,-1 1 0,1-1 0,0 1 0,0 0 0,-1 1 0,-4 8 0,0 1 0,0-1 0,1 1 0,1 0 0,0 0 0,0 0 0,1 0 0,1 2 0,0-2 0,1 1 0,0 0 0,1-1 0,1 1 0,3 24 0,-4-35 0,1 0 0,-1-1 0,1 1 0,0 0 0,-1 0 0,1-1 0,0 1 0,0-1 0,0 1 0,0-1 0,0 1 0,0-1 0,1 0 0,-1 1 0,0-1 0,1 0 0,-1 0 0,1 0 0,-1 0 0,1 0 0,0 0 0,-1 0 0,3 0 0,0 0 0,0-1 0,-1 0 0,1 1 0,-1-1 0,1-1 0,0 1 0,-1 0 0,1-1 0,-1 0 0,1 0 0,3-1 0,8-4 0,0-1 0,-1-1 0,0 0 0,14-10 0,-4-1 0,-18 14 0,0-1 0,1 1 0,-1 0 0,1 1 0,9-4 0,-14 7 0,0 0 0,0 1 0,-1-1 0,1 1 0,0-1 0,0 1 0,0 0 0,0 0 0,0 0 0,0 0 0,0 0 0,0 0 0,0 0 0,-1 1 0,1-1 0,0 1 0,0-1 0,0 1 0,0 0 0,-1 0 0,1 0 0,0 0 0,-1 0 0,1 0 0,-1 0 0,3 3 0,2 2 0,-1 1 0,0-1 0,-1 1 0,1 0 0,-1 0 0,3 9 0,-6-12 0,1 1 0,0-1 0,0 0 0,0 1 0,0-1 0,1 0 0,0 0 0,0-1 0,0 1 0,0-1 0,0 1 0,1-1 0,0 0 0,-1 0 0,1 0 0,0-1 0,1 0 0,-1 1 0,0-1 0,1-1 0,6 3 0,12-1 0,0 1 0,0-3 0,1 0 0,-1-2 0,1 0 0,-1-3 0,0 0 0,0 0 0,-1-2 0,1 0 0,-1-2 0,0-1 0,22-12 0,5-5 0,-3-2 0,0-2 0,-2-1 0,62-59 0,-58 43-73,-2-3-1,-1 0 0,-3-3 0,-3-1 1,61-112-1,-59 83-36,-4-1-1,-4-2 1,42-164-1,-40 77-88,-8-2 0,-7-1 0,-3-224 0,-62-528-680,11 562 602,22 287 277,12 79 0,0 0 0,0-1 1,0 1-1,0 0 0,0 0 0,0 0 1,0 0-1,0 0 0,0 0 0,0-1 1,0 1-1,0 0 0,0 0 0,0 0 1,0 0-1,0 0 0,0-1 0,0 1 1,0 0-1,0 0 0,0 0 0,0 0 1,0 0-1,0 0 0,0-1 0,0 1 1,0 0-1,0 0 0,0 0 0,0 0 0,0 0 1,0 0-1,-1-1 0,1 1 0,0 0 1,0 0-1,0 0 0,0 0 0,0 0 1,0 0-1,0 0 0,-1 0 0,1 0 1,0 0-1,0 0 0,0 0 0,0 0 1,0 0-1,-1 0 0,1 0 0,0 0 1,0 0-1,0 0 0,0 0 0,0 0 1,0 0-1,-1 0 0,1 0 0,0 0 1,0 0-1,0 0 0,0 0 0,0 0 1,-1 0-1,1 0 0,0 0 0,0 0 1,-4 20 115,-2 247 503,6-185-575,4 295-362,9 151-952,11 142 184,73 1067-2766,62-6 2196,-115-1379 1323,-12-140 333,-29-193 119,1-1 0,11 34 0,-15-52-108,0 0 0,0 0-1,0 1 1,0-1 0,0 0 0,0 0 0,0 0-1,0 0 1,0 1 0,0-1 0,0 0 0,0 0 0,0 0-1,0 0 1,0 0 0,0 1 0,0-1 0,0 0-1,0 0 1,1 0 0,-1 0 0,0 0 0,0 0 0,0 0-1,0 1 1,0-1 0,0 0 0,1 0 0,-1 0-1,0 0 1,0 0 0,0 0 0,0 0 0,0 0-1,1 0 1,-1 0 0,0 0 0,0 0 0,0 0 0,0 0-1,1 0 1,-1 0 0,0 0 0,0 0 0,0 0-1,0 0 1,0 0 0,1 0 0,-1 0 0,0 0 0,0 0-1,0 0 1,0-1 0,0 1 0,1 0 0,-1 0-1,0 0 1,0 0 0,0 0 0,0 0 0,0 0-1,0-1 1,0 1 0,0 0 0,1 0 0,4-23 703,1-233-385,-7 215-301,-36-627 1996,17 507-1349,-7 2 0,-54-180 0,54 253-383,-4 2 1,-3 1-1,-4 3 0,-72-116 0,69 135-49,-2 3 1,-3 2-1,-2 1 0,-2 3 1,-110-88-1,72 81-253,59 42 107,-49-41 0,77 57-64,0 0 1,-1-1-1,1 1 1,0 0-1,0 0 1,0-1-1,0 1 1,0 0-1,0-1 1,0 1-1,0-1 1,1 0-1,-1 1 1,0-1 0,1 1-1,0-1 1,-1-1-1,1 1 1,0 1-1,0-1 1,0 0-1,0-1 1,1-1-14,0 0 0,0 0 1,1 1-1,0-1 1,-1 1-1,1-1 0,0 1 1,1 0-1,3-5 0,26-28 35,2 1 1,1 2-1,2 0 0,45-28 0,-35 26-46,-39 29-9,131-102 0,171-98 0,-308 204 0,8-3 0,0 0 0,-1 0 0,21-6 0,-29 11 0,0-1 0,0 1 0,0-1 0,1 1 0,-1 0 0,0 0 0,0-1 0,0 1 0,0 0 0,0 0 0,0 0 0,0 0 0,0 1 0,0-1 0,1 0 0,-1 0 0,0 1 0,0-1 0,0 0 0,0 1 0,0-1 0,0 1 0,0-1 0,0 1 0,-1 0 0,1-1 0,0 1 0,0 0 0,0 0 0,-1 0 0,1-1 0,0 1 0,-1 0 0,1 0 0,-1 0 0,1 0 0,-1 0 0,1 0 0,-1 0 0,0 0 0,1 0 0,-1 0 0,0 1 0,0-1 0,0 0 0,0 0 0,0 1 0,-1 13 0,0-1 0,-1 1 0,-4 15 0,3-16 0,1 0 0,0 0 0,0 0 0,1 0 0,2 19 0,-1-30 0,1 1 0,0-1 0,-1 1 0,2-1 0,-1 1 0,0-1 0,1 0 0,-1 0 0,1 0 0,0 0 0,0 0 0,0 0 0,0 0 0,1-1 0,-1 1 0,1-1 0,0 1 0,-1-1 0,1 0 0,0 0 0,0 0 0,1-1 0,-1 1 0,0-1 0,7 3 0,7 1 0,0-1 0,0-2 0,1 1 0,-1-2 0,0 0 0,1-1 0,-1-1 0,1-1 0,-1 0 0,0-1 0,0-1 0,0-1 0,22-9 0,-21 7 0,-1-1 0,0 0 0,0-1 0,-1-1 0,0-1 0,-1 0 0,0-1 0,-1 0 0,0-1 0,-1-1 0,-1 0 0,13-19 0,-17 19 0,-2 2 0,0-1 0,0 0 0,-1 0 0,-1-1 0,0 0 0,-1 1 0,-1-1 0,0-1 0,0-16 0,-1 23 0,-2 1 0,1-2 0,-1 2 0,-1-1 0,1 1 0,-1 0 0,0 0 0,-1-1 0,-4-7 0,5 11 0,-1 0 0,0 0 0,0 0 0,0 0 0,0 0 0,0 1 0,-1-1 0,0 1 0,0 0 0,0 0 0,0 0 0,0 1 0,-1-1 0,-8-2 0,7 3 0,-1 1 0,1 0 0,0 0 0,-1 1 0,1-1 0,-1 2 0,1-1 0,-1 1 0,1 0 0,0 0 0,-1 0 0,1 1 0,0 0 0,0 1 0,0-1 0,0 1 0,1 0 0,-1 1 0,1-1 0,0 1 0,-6 5 0,1-1 0,0 0 0,1 1 0,0 0 0,1 1 0,0 0 0,0 0 0,1 1 0,0 1 0,-9 20 0,15-30 0,0 0 0,0 0 0,1 1 0,-1-1 0,1 0 0,-1 1 0,1-1 0,0 0 0,0 1 0,0-1 0,0 1 0,0-1 0,0 0 0,1 1 0,-1-1 0,1 0 0,0 1 0,0-1 0,0 0 0,0 0 0,0 0 0,0 0 0,0 0 0,1 0 0,-1 0 0,1 0 0,-1 0 0,1 0 0,0-1 0,0 1 0,0-1 0,0 0 0,3 2 0,4 2 0,1 0 0,0-1 0,0-1 0,0 0 0,1 0 0,15 2 0,30 2 0,1-2 0,-1-3 0,1-2 0,0-3 0,84-15 0,-42-1 0,1-5 0,111-42 0,-175 54 0,-1-2 0,-1-1 0,0-1 0,-1-1 0,47-34 0,-76 47 0,0 1 0,0-1 0,0 0 0,-1 0 0,1 0 0,-1 0 0,0-1 0,0 1 0,2-7 0,-4 10 0,-1 0 0,0 0 0,1 0 0,-1-1 0,0 1 0,0 0 0,0 0 0,1 0 0,-1 0 0,-1 0 0,1 0 0,0-1 0,0 1 0,0 0 0,0 0 0,-1 0 0,1 0 0,-1 0 0,1 0 0,-1 0 0,1 0 0,-1 0 0,1 0 0,-1 0 0,0 0 0,1 0 0,-1 0 0,0 1 0,0-2 0,0 1 0,0 1 0,0-1 0,0 0 0,0 1 0,0-1 0,0 1 0,0-1 0,0 1 0,0 0 0,0 0 0,0-1 0,0 1 0,-1 0 0,1 0 0,0 0 0,-1 0 0,-6 0 0,1 0 0,0 0 0,-1 1 0,1 0 0,0 0 0,-1 0 0,1 1 0,0 1 0,0 0 0,0 0 0,0 0 0,1 0 0,-1 1 0,-7 5 0,-3 3 0,0 1 0,1 0 0,-28 29 0,36-33 0,0 1 0,0 0 0,1 1 0,-10 21 0,14-25 0,1-2 0,-1 1 0,1 0 0,1 0 0,-1 0 0,1 0 0,0 1 0,1-1 0,-1 0 0,1 0 0,2 12 0,-2-16 0,0-1 0,1 1 0,-1-1 0,0 1 0,1-1 0,0 1 0,-1-1 0,1 0 0,0 1 0,0-1 0,0 0 0,0 1 0,0-1 0,0 0 0,0 0 0,0 0 0,1 0 0,-1 0 0,0 0 0,0 0 0,1-1 0,-1 1 0,1 0 0,-1-1 0,1 1 0,-1-1 0,3 1 0,2 0 0,0-1 0,-1 0 0,1 0 0,-1 0 0,1-1 0,10-2 0,14-5 0,0-1 0,-2-2 0,1 0 0,-1-2 0,37-24 0,-19 7 0,-2-1 0,54-50 0,-59 43-36,-2-2-1,-2-2 1,-2 0 0,-1-3-1,-3-1 1,-1-1-1,-3-1 1,-1-1-1,-3-1 1,-2-1-1,16-72 1,-15 35-33,-4-3-1,-3 1 1,-5-1-1,-4 0 1,-4-1-1,-11-91 0,-2 82 70,-4-1 0,-4 2 0,-5-1 0,-53-130 0,34 122 0,-5 3 0,-5 2 0,-104-149 0,135 218 0,-2 0 0,-1 3 0,-56-53 0,81 83 0,-2-1 0,1 0 0,0 1 0,0 0 0,-1 0 0,1 0 0,-1 0 0,0 0 0,0 1 0,-4-2 0,7 3 0,0 0 0,0 0 0,0 0 0,1 0 0,-1 0 0,0 0 0,0 0 0,0 1 0,1-1 0,-1 0 0,0 0 0,0 1 0,1-1 0,-1 1 0,0-1 0,1 0 0,-1 1 0,0-1 0,1 1 0,-1 0 0,0 0 0,-1 1 0,1 1 0,0-1 0,-1 1 0,1-1 0,0 1 0,1-1 0,-1 1 0,0-1 0,0 5 0,-1 17 0,1 0 0,3 44 0,22 148 0,32 140-472,48 178-1419,52 179 495,59 157-2296,57 111 2151,973 2731-4055,-1030-3141 5465,-60-169 436,-143-371-164,140 331 1971,-129-316-293,-23-46-1768,0 0-1,1 0 1,-1 0-1,0 0 1,0 0-1,0 0 1,0 0-1,0 0 0,0 0 1,0 0-1,0 0 1,0 0-1,0 0 1,0 0-1,0 0 1,0 0-1,1 0 1,-13-28 884,-236-487 4584,-189-237-3747,25 168-1780,-23 17 73,343 449-11,41 52 251,-232-318-143,242 321 100,4-2 0,2-2 0,3 0-1,-31-97 1,61 157-239,-1-1 1,1 1-1,1 0 1,0-1-1,0 1 1,0-1-1,1 0 1,0 1 0,0-1-1,2-8 1,0 8-26,1 1 1,0-1 0,0 1-1,0 0 1,1 0 0,1 1-1,-1-1 1,1 1 0,0 0 0,7-8-1,34-30 2,1 1 0,76-52 0,76-45 0,87-51-503,104-62-1508,106-67 791,-434 281 768,958-625-2675,-20-32 2853,-673 447-805,-101 60 800,-172 141 376,-1-3 0,52-64-1,-102 112 6,-1 0-1,1-1 1,-1 1-1,0-1 1,0 0 0,0 0-1,2-7 1,-4 11-65,0-1 1,0 0 0,1 1 0,-1-1 0,0 0 0,0 1-1,0-1 1,0 0 0,0 1 0,0-1 0,0 0-1,-1 1 1,1-1 0,0 1 0,0-1 0,0 0-1,-1 1 1,1-1 0,0 1 0,-1-1 0,1 0-1,0 1 1,-1-1 0,1 1 0,-1-1 0,1 1 0,-1-1-1,0 1 1,-3-2 247,0 1-1,-1 0 1,1 0 0,0 1-1,0-1 1,-1 1-1,1 0 1,0 0 0,-1 1-1,1-1 1,-8 3-1,-211 54 2980,0-1-3197,168-44-380,-99 37 0,130-40-426,1-1-6087</inkml:trace>
  <inkml:trace contextRef="#ctx0" brushRef="#br0" timeOffset="343.09">11853 5005 24575</inkml:trace>
  <inkml:trace contextRef="#ctx0" brushRef="#br0" timeOffset="624.41">12208 5563 24575,'4'0'0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04:26:37.9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296 1273 24575,'-5'13'0,"0"0"0,1 0 0,0 0 0,-3 25 0,-4 14 0,-78 320-714,-45 404 1,113-572 240,9 1 0,9 1 1,38 348-1,-5-356 473,108 380 0,-94-445 0,6-3 0,5-1 0,118 200 0,-146-285-37,2-2-1,2 1 1,1-3-1,2-2 1,2-1-1,70 58 1,-87-81 27,2 0 1,0-2 0,0 0 0,1-1-1,0-1 1,1-1 0,0-1 0,0-2-1,1 0 1,0-1 0,0-1 0,1-1-1,-1-2 1,0 0 0,1-2-1,27-3 1,-13-3 9,0-2 0,0-1 0,-1-2 0,40-19 0,-2-4-162,124-81 0,122-118-1134,32-89 607,20-92-767,-209 197 1059,-10-8 0,-10-5 0,-10-7 0,183-448 0,-202 374 9,-14-4 0,-13-3 0,74-522 0,-121 451 226,-28 98 538,-13 219 314,-4 0 1,-17-117-1,18 181-515,0-1 0,0 1 1,-1 0-1,0 0 0,-7-13 1,10 21-117,0 0 1,-1 0 0,1 1-1,0-1 1,-1 0 0,1 0 0,-1 1-1,1-1 1,-1 1 0,1-1-1,-1 0 1,0 1 0,1-1-1,-1 1 1,0-1 0,1 1-1,-1 0 1,0-1 0,1 1-1,-1 0 1,0-1 0,0 1 0,0 0-1,1 0 1,-1 0 0,0-1-1,0 1 1,0 0 0,1 0-1,-1 0 1,0 1 0,0-1-1,0 0 1,0 0 0,1 0-1,-1 1 1,0-1 0,0 0 0,1 0-1,-1 1 1,0-1 0,1 1-1,-2 0 1,-6 6 109,2 1 0,-1-1 0,1 1-1,0 0 1,0 1 0,-5 11 0,-164 353 2470,172-364-2651,-141 347-378,-35 135-1169,-20 128 402,-269 1186-1337,354-1202 1823,-36 637-1,129-675 367,43-101-918,36-97 812,-39-286 376,3-1-1,4 0 1,3-2 0,45 86 0,-58-134 472,1-1 0,1 0 0,1-1 0,43 46 1,-55-67-234,-1 0 1,2-1 0,-1 0 0,0 0-1,1 0 1,0-1 0,1-1 0,-1 1 0,1 0-1,0-2 1,0 1 0,0-2 0,0 1-1,0-1 1,1 0 0,-1-1 0,1 0 0,-1-1-1,1 0 1,-1-1 0,12-1 0,-7-1 130,0-2 1,0 1 0,0-3-1,0 1 1,25-15 0,-5-2-41,33-27-1,38-41 245,97-109 1,78-117-1175,-116 113 576,147-235 0,-275 380 113,-2-3 1,-3-1-1,-2 0 0,-3-3 1,-4 0-1,-2-1 0,-3-2 1,-3 1-1,-3-2 0,-3 1 1,-3-1-1,-5-77 0,-2 115-54,-1-2 0,-2 2 0,-1 0 0,-2 1 0,-12-33 0,7 41 0,12 23 0,1-1 0,0 1 0,-1 0 0,1 0 0,0 0 0,-1 0 0,1-1 0,-1 1 0,1 0 0,0 0 0,-1 0 0,1 0 0,-1 0 0,1 0 0,0 0 0,-1 0 0,1 0 0,-1 0 0,1 0 0,0 0 0,-1 0 0,1 1 0,0-1 0,-1 0 0,1 0 0,-1 0 0,1 0 0,0 1 0,-1-1 0,1 0 0,0 0 0,-1 1 0,-1 3 0,-1 0 0,1 0 0,0 0 0,0 0 0,0 0 0,1 0 0,-1 0 0,1 0 0,-1 5 0,-50 291 0,24 12 0,12-123 0,-38 481 0,38-6 0,16-660 0,0 0 0,0 0 0,0 0 0,1 1 0,-1-1 0,1 0 0,2 6 0,-2-9 0,-1-1 0,0 0 0,0 0 0,0 0 0,1 0 0,-1 0 0,0 0 0,0 0 0,0 0 0,1 0 0,-1 0 0,0 0 0,0 0 0,1-1 0,-1 1 0,0 0 0,0 0 0,0 0 0,1 0 0,-1 0 0,0 0 0,0 0 0,0-1 0,0 1 0,1 0 0,-1 0 0,0 0 0,0 0 0,0-1 0,0 1 0,0 0 0,0 0 0,1 0 0,-1 0 0,0-1 0,0 1 0,0 0 0,0 0 0,0-1 0,0 1 0,0 0 0,11-28 0,20-91-54,31-232 0,-55 299-32,87-800-544,-36-7 290,-33 198 245,-24 627 77,-2 22 42,1 0-1,1 0 1,0 0-1,1 0 0,0 0 1,0 1-1,2-1 1,5-15-1,-8 25 10,1 1-1,-1-1 0,0 0 0,1 1 1,-1-1-1,1 1 0,0 0 0,-1-1 1,1 1-1,0 0 0,0 0 0,0 0 1,-1 0-1,1 1 0,0-1 0,0 0 1,1 1-1,-1-1 0,0 1 0,0 0 1,0 0-1,0 0 0,0 0 1,0 0-1,0 0 0,0 0 0,0 1 1,0-1-1,0 1 0,0 0 0,0-1 1,0 1-1,0 0 0,2 2 0,2-1-38,1 1 0,-1 0-1,-1 1 1,1 0 0,-1 0 0,1 0-1,-1 0 1,0 1 0,7 8-1,-9-7 7,0-1 0,0 1 0,0 0 0,-1 0 0,0 0 0,0 0 0,-1 0 0,1 1 0,-1-1 0,-1 0 0,1 1 0,-1-1 0,0 1 0,-1-1 0,1 0 0,-1 1 0,-1-1 0,1 1 0,-1-1 0,0 0 0,-4 10 0,-7 10 0,0 0 0,-2-1 0,-27 34 0,24-32 0,-5 5 0,4-7 0,2 0 0,0 2 0,2 0 0,-13 34 0,27-59 0,0 0 0,0 1 0,1-1 0,-1 0 0,1 1 0,0-1 0,0 1 0,0-1 0,0 0 0,0 1 0,1-1 0,-1 1 0,1-1 0,-1 0 0,1 1 0,0-1 0,0 0 0,0 0 0,0 1 0,0-1 0,1 0 0,-1 0 0,0 0 0,1-1 0,0 1 0,-1 0 0,1-1 0,0 1 0,0-1 0,0 1 0,0-1 0,4 2 0,6 3 0,0-1 0,0 0 0,0 0 0,0-2 0,15 4 0,39 5 0,135 7 0,71-20 0,-205-2 0,-2-2 0,0-4 0,72-18 0,-113 21 0,-1-2 0,0-1 0,-1 0 0,41-25 0,-51 26 0,0-1 0,0 0 0,-1-1 0,-1 0 0,1-1 0,-2 0 0,0-1 0,0 1 0,9-17 0,-12 16 0,0-1 0,-1 1 0,0-2 0,-1 1 0,-1 0 0,0-1 0,-1 1 0,0-2 0,-1 1 0,0 0 0,-1 1 0,-3-22 0,2 32 0,1-1 0,-1 1 0,0 0 0,0 0 0,0 0 0,0 0 0,0 0 0,-1 0 0,1 0 0,-1 0 0,0 1 0,0-1 0,0 1 0,0-1 0,0 1 0,0-1 0,-1 1 0,1 0 0,-1 0 0,0 1 0,0-1 0,0 0 0,1 1 0,-1 0 0,0 0 0,-1-1 0,1 2 0,0-1 0,0 0 0,-4 0 0,-9 0 0,0 0 0,0 1 0,-1 1 0,-27 5 0,37-5 0,-63 9 0,-113 33 0,157-36 0,0 2 0,1 1 0,1 2 0,0 0 0,0 1 0,1 1 0,-33 28 0,49-37 0,1 1 0,0 0 0,1 1 0,0-1 0,0 1 0,0 0 0,1 1 0,0-1 0,0 1 0,1-1 0,0 1 0,0 0 0,1 1 0,-3 15 0,4-19 0,1 0 0,0 0 0,1 0 0,-1 0 0,1 1 0,0-1 0,0 0 0,0 0 0,1 0 0,0 0 0,0-1 0,0 1 0,0-1 0,1 1 0,-1-1 0,1 0 0,0 0 0,1 0 0,-1 0 0,1-1 0,0 1 0,0-1 0,0 0 0,0 0 0,9 4 0,-6-4 0,0 0 0,0 0 0,0-1 0,2 0 0,-2 0 0,1 0 0,-1-1 0,1-1 0,0 1 0,0-1 0,-1-1 0,1 1 0,0-1 0,-1 0 0,1-1 0,-1 0 0,1 0 0,7-4 0,5-3 0,1 0 0,-2-2 0,1 0 0,-2-1 0,24-19 0,44-46-45,-3-2 0,-4-5 0,76-103 0,-94 110-108,-3-5 0,-4-1 0,-3-3-1,-5-1 1,-3-4 0,-4 0 0,30-105 0,-38 78-174,-5-1 0,-6-2 0,-5 0 0,0-126-1,-15 99 339,-7-1 1,-52-287-1,37 329-147,-5 2 0,-48-122 1,54 177 85,-1 1 0,-2 1 0,-3 1 0,-1 1 1,-3 1-1,-42-48 0,65 84 94,0 0 0,-1 1 0,1 0 1,-2 0-1,1 1 0,-1 0 0,-18-9 1,25 15-14,-1-1 0,1 1 0,-1 1 0,1-1 1,-1 0-1,1 1 0,-1 0 0,0 0 0,1 0 1,-1 0-1,0 0 0,1 1 0,-1 0 0,1-1 0,-1 1 1,1 1-1,-1-1 0,1 0 0,0 1 0,-1 0 1,1 0-1,0 0 0,0 0 0,0 0 0,1 1 1,-1-1-1,0 1 0,-2 4 0,-11 11 174,1 1 0,1 1 0,1 0 0,-11 26 0,-44 106 387,64-143-590,-97 257-226,-14 105-675,-5 123 15,-40 435-2304,46 496 3079,106-965-130,18-92-713,16-93 696,5-107 180,-24-145 127,0 0-1,1 0 0,1-1 1,17 31-1,-21-45 116,-1 0 0,1-1 0,0 0 0,1 0-1,0-1 1,0 0 0,0 0 0,1 0 0,0 0 0,1-1 0,-1-1 0,1 1 0,-1-1 0,1 0-1,0-1 1,1 0 0,-1 0 0,0 0 0,1-1 0,-1-1 0,1 1 0,0-2 0,0 1 0,-1-1-1,1 0 1,12-3 0,1 0 119,-1-2 0,-1-1-1,1-1 1,-1 0 0,0-1-1,0-2 1,-1 0 0,-1-1-1,27-20 1,84-74-217,123-131-1,-215 199-67,-1-2 0,-2-1 0,-1-2 0,-3-1 0,-1-2 0,-2 0 0,-3-2 0,-1 0 0,-3-3 0,-1 1 0,-3-2 0,-2 1 0,-2-3 0,-3 2 0,6-96 0,-16 109 0,-2 1 0,-1 0 0,-2-1 0,-1 1 0,-2 1 0,-2 0 0,-1 0 0,-27-54 0,38 87 0,-1 0 0,1 0 0,-1 0 0,0 0 0,0 0 0,0 0 0,0 1 0,0-1 0,-1 1 0,1-1 0,-1 1 0,0 0 0,0 0 0,1 0 0,-1 0 0,-4-1 0,5 3 0,0-1 0,0 1 0,0 0 0,0 0 0,0 0 0,0 0 0,0 1 0,0-1 0,0 0 0,0 1 0,0-1 0,0 1 0,1 0 0,-1 0 0,0 0 0,0 0 0,1 0 0,-1 0 0,0 0 0,1 0 0,0 0 0,-1 1 0,1-1 0,-1 1 0,1-1 0,0 1 0,0 0 0,-1 1 0,-4 8 0,0 1 0,0-1 0,1 1 0,1 0 0,0 0 0,0 0 0,1 0 0,1 2 0,0-2 0,1 1 0,0 0 0,1-1 0,1 1 0,3 24 0,-4-35 0,1 0 0,-1-1 0,1 1 0,0 0 0,-1 0 0,1-1 0,0 1 0,0-1 0,0 1 0,0-1 0,0 1 0,0-1 0,1 0 0,-1 1 0,0-1 0,1 0 0,-1 0 0,1 0 0,-1 0 0,1 0 0,0 0 0,-1 0 0,3 0 0,0 0 0,0-1 0,-1 0 0,1 1 0,-1-1 0,1-1 0,0 1 0,-1 0 0,1-1 0,-1 0 0,1 0 0,3-1 0,8-4 0,0-1 0,-1-1 0,0 0 0,14-10 0,-4-1 0,-18 14 0,0-1 0,1 1 0,-1 0 0,1 1 0,9-4 0,-14 7 0,0 0 0,0 1 0,-1-1 0,1 1 0,0-1 0,0 1 0,0 0 0,0 0 0,0 0 0,0 0 0,0 0 0,0 0 0,0 0 0,-1 1 0,1-1 0,0 1 0,0-1 0,0 1 0,0 0 0,-1 0 0,1 0 0,0 0 0,-1 0 0,1 0 0,-1 0 0,3 3 0,2 2 0,-1 1 0,0-1 0,-1 1 0,1 0 0,-1 0 0,3 9 0,-6-12 0,1 1 0,0-1 0,0 0 0,0 1 0,0-1 0,1 0 0,0 0 0,0-1 0,0 1 0,0-1 0,0 1 0,1-1 0,0 0 0,-1 0 0,1 0 0,0-1 0,1 0 0,-1 1 0,0-1 0,1-1 0,6 3 0,12-1 0,0 1 0,0-3 0,1 0 0,-1-2 0,1 0 0,-1-3 0,0 0 0,0 0 0,-1-2 0,1 0 0,-1-2 0,0-1 0,22-12 0,5-5 0,-3-2 0,0-2 0,-2-1 0,62-59 0,-58 43-73,-2-3-1,-1 0 0,-3-3 0,-3-1 1,61-112-1,-59 83-36,-4-1-1,-4-2 1,42-164-1,-40 77-88,-8-2 0,-7-1 0,-3-224 0,-62-528-680,11 562 602,22 287 277,12 79 0,0 0 0,0-1 1,0 1-1,0 0 0,0 0 0,0 0 1,0 0-1,0 0 0,0 0 0,0-1 1,0 1-1,0 0 0,0 0 0,0 0 1,0 0-1,0 0 0,0-1 0,0 1 1,0 0-1,0 0 0,0 0 0,0 0 1,0 0-1,0 0 0,0-1 0,0 1 1,0 0-1,0 0 0,0 0 0,0 0 0,0 0 1,0 0-1,-1-1 0,1 1 0,0 0 1,0 0-1,0 0 0,0 0 0,0 0 1,0 0-1,0 0 0,-1 0 0,1 0 1,0 0-1,0 0 0,0 0 0,0 0 1,0 0-1,-1 0 0,1 0 0,0 0 1,0 0-1,0 0 0,0 0 0,0 0 1,0 0-1,-1 0 0,1 0 0,0 0 1,0 0-1,0 0 0,0 0 0,0 0 1,-1 0-1,1 0 0,0 0 0,0 0 1,-4 20 115,-2 247 503,6-185-575,4 295-362,9 151-952,11 142 184,73 1067-2766,62-6 2196,-115-1379 1323,-12-140 333,-29-193 119,1-1 0,11 34 0,-15-52-108,0 0 0,0 0-1,0 1 1,0-1 0,0 0 0,0 0 0,0 0-1,0 0 1,0 1 0,0-1 0,0 0 0,0 0 0,0 0-1,0 0 1,0 0 0,0 1 0,0-1 0,0 0-1,0 0 1,1 0 0,-1 0 0,0 0 0,0 0 0,0 0-1,0 1 1,0-1 0,0 0 0,1 0 0,-1 0-1,0 0 1,0 0 0,0 0 0,0 0 0,0 0-1,1 0 1,-1 0 0,0 0 0,0 0 0,0 0 0,0 0-1,1 0 1,-1 0 0,0 0 0,0 0 0,0 0-1,0 0 1,0 0 0,1 0 0,-1 0 0,0 0 0,0 0-1,0 0 1,0-1 0,0 1 0,1 0 0,-1 0-1,0 0 1,0 0 0,0 0 0,0 0 0,0 0-1,0-1 1,0 1 0,0 0 0,1 0 0,4-23 703,1-233-385,-7 215-301,-36-627 1996,17 507-1349,-7 2 0,-54-180 0,54 253-383,-4 2 1,-3 1-1,-4 3 0,-72-116 0,69 135-49,-2 3 1,-3 2-1,-2 1 0,-2 3 1,-110-88-1,72 81-253,59 42 107,-49-41 0,77 57-64,0 0 1,-1-1-1,1 1 1,0 0-1,0 0 1,0-1-1,0 1 1,0 0-1,0-1 1,0 1-1,0-1 1,1 0-1,-1 1 1,0-1 0,1 1-1,0-1 1,-1-1-1,1 1 1,0 1-1,0-1 1,0 0-1,0-1 1,1-1-14,0 0 0,0 0 1,1 1-1,0-1 1,-1 1-1,1-1 0,0 1 1,1 0-1,3-5 0,26-28 35,2 1 1,1 2-1,2 0 0,45-28 0,-35 26-46,-39 29-9,131-102 0,171-98 0,-308 204 0,8-3 0,0 0 0,-1 0 0,21-6 0,-29 11 0,0-1 0,0 1 0,0-1 0,1 1 0,-1 0 0,0 0 0,0-1 0,0 1 0,0 0 0,0 0 0,0 0 0,0 0 0,0 1 0,0-1 0,1 0 0,-1 0 0,0 1 0,0-1 0,0 0 0,0 1 0,0-1 0,0 1 0,0-1 0,0 1 0,-1 0 0,1-1 0,0 1 0,0 0 0,0 0 0,-1 0 0,1-1 0,0 1 0,-1 0 0,1 0 0,-1 0 0,1 0 0,-1 0 0,1 0 0,-1 0 0,0 0 0,1 0 0,-1 0 0,0 1 0,0-1 0,0 0 0,0 0 0,0 1 0,-1 13 0,0-1 0,-1 1 0,-4 15 0,3-16 0,1 0 0,0 0 0,0 0 0,1 0 0,2 19 0,-1-30 0,1 1 0,0-1 0,-1 1 0,2-1 0,-1 1 0,0-1 0,1 0 0,-1 0 0,1 0 0,0 0 0,0 0 0,0 0 0,0 0 0,1-1 0,-1 1 0,1-1 0,0 1 0,-1-1 0,1 0 0,0 0 0,0 0 0,1-1 0,-1 1 0,0-1 0,7 3 0,7 1 0,0-1 0,0-2 0,1 1 0,-1-2 0,0 0 0,1-1 0,-1-1 0,1-1 0,-1 0 0,0-1 0,0-1 0,0-1 0,22-9 0,-21 7 0,-1-1 0,0 0 0,0-1 0,-1-1 0,0-1 0,-1 0 0,0-1 0,-1 0 0,0-1 0,-1-1 0,-1 0 0,13-19 0,-17 19 0,-2 2 0,0-1 0,0 0 0,-1 0 0,-1-1 0,0 0 0,-1 1 0,-1-1 0,0-1 0,0-16 0,-1 23 0,-2 1 0,1-2 0,-1 2 0,-1-1 0,1 1 0,-1 0 0,0 0 0,-1-1 0,-4-7 0,5 11 0,-1 0 0,0 0 0,0 0 0,0 0 0,0 0 0,0 1 0,-1-1 0,0 1 0,0 0 0,0 0 0,0 0 0,0 1 0,-1-1 0,-8-2 0,7 3 0,-1 1 0,1 0 0,0 0 0,-1 1 0,1-1 0,-1 2 0,1-1 0,-1 1 0,1 0 0,0 0 0,-1 0 0,1 1 0,0 0 0,0 1 0,0-1 0,0 1 0,1 0 0,-1 1 0,1-1 0,0 1 0,-6 5 0,1-1 0,0 0 0,1 1 0,0 0 0,1 1 0,0 0 0,0 0 0,1 1 0,0 1 0,-9 20 0,15-30 0,0 0 0,0 0 0,1 1 0,-1-1 0,1 0 0,-1 1 0,1-1 0,0 0 0,0 1 0,0-1 0,0 1 0,0-1 0,0 0 0,1 1 0,-1-1 0,1 0 0,0 1 0,0-1 0,0 0 0,0 0 0,0 0 0,0 0 0,0 0 0,1 0 0,-1 0 0,1 0 0,-1 0 0,1 0 0,0-1 0,0 1 0,0-1 0,0 0 0,3 2 0,4 2 0,1 0 0,0-1 0,0-1 0,0 0 0,1 0 0,15 2 0,30 2 0,1-2 0,-1-3 0,1-2 0,0-3 0,84-15 0,-42-1 0,1-5 0,111-42 0,-175 54 0,-1-2 0,-1-1 0,0-1 0,-1-1 0,47-34 0,-76 47 0,0 1 0,0-1 0,0 0 0,-1 0 0,1 0 0,-1 0 0,0-1 0,0 1 0,2-7 0,-4 10 0,-1 0 0,0 0 0,1 0 0,-1-1 0,0 1 0,0 0 0,0 0 0,1 0 0,-1 0 0,-1 0 0,1 0 0,0-1 0,0 1 0,0 0 0,0 0 0,-1 0 0,1 0 0,-1 0 0,1 0 0,-1 0 0,1 0 0,-1 0 0,1 0 0,-1 0 0,0 0 0,1 0 0,-1 0 0,0 1 0,0-2 0,0 1 0,0 1 0,0-1 0,0 0 0,0 1 0,0-1 0,0 1 0,0-1 0,0 1 0,0 0 0,0 0 0,0-1 0,0 1 0,-1 0 0,1 0 0,0 0 0,-1 0 0,-6 0 0,1 0 0,0 0 0,-1 1 0,1 0 0,0 0 0,-1 0 0,1 1 0,0 1 0,0 0 0,0 0 0,0 0 0,1 0 0,-1 1 0,-7 5 0,-3 3 0,0 1 0,1 0 0,-28 29 0,36-33 0,0 1 0,0 0 0,1 1 0,-10 21 0,14-25 0,1-2 0,-1 1 0,1 0 0,1 0 0,-1 0 0,1 0 0,0 1 0,1-1 0,-1 0 0,1 0 0,2 12 0,-2-16 0,0-1 0,1 1 0,-1-1 0,0 1 0,1-1 0,0 1 0,-1-1 0,1 0 0,0 1 0,0-1 0,0 0 0,0 1 0,0-1 0,0 0 0,0 0 0,0 0 0,1 0 0,-1 0 0,0 0 0,0 0 0,1-1 0,-1 1 0,1 0 0,-1-1 0,1 1 0,-1-1 0,3 1 0,2 0 0,0-1 0,-1 0 0,1 0 0,-1 0 0,1-1 0,10-2 0,14-5 0,0-1 0,-2-2 0,1 0 0,-1-2 0,37-24 0,-19 7 0,-2-1 0,54-50 0,-59 43-36,-2-2-1,-2-2 1,-2 0 0,-1-3-1,-3-1 1,-1-1-1,-3-1 1,-1-1-1,-3-1 1,-2-1-1,16-72 1,-15 35-33,-4-3-1,-3 1 1,-5-1-1,-4 0 1,-4-1-1,-11-91 0,-2 82 70,-4-1 0,-4 2 0,-5-1 0,-53-130 0,34 122 0,-5 3 0,-5 2 0,-104-149 0,135 218 0,-2 0 0,-1 3 0,-56-53 0,81 83 0,-2-1 0,1 0 0,0 1 0,0 0 0,-1 0 0,1 0 0,-1 0 0,0 0 0,0 1 0,-4-2 0,7 3 0,0 0 0,0 0 0,0 0 0,1 0 0,-1 0 0,0 0 0,0 0 0,0 1 0,1-1 0,-1 0 0,0 0 0,0 1 0,1-1 0,-1 1 0,0-1 0,1 0 0,-1 1 0,0-1 0,1 1 0,-1 0 0,0 0 0,-1 1 0,1 1 0,0-1 0,-1 1 0,1-1 0,0 1 0,1-1 0,-1 1 0,0-1 0,0 5 0,-1 17 0,1 0 0,3 44 0,22 148 0,32 140-472,48 178-1419,52 179 495,59 157-2296,57 111 2151,973 2731-4055,-1030-3141 5465,-60-169 436,-143-371-164,140 331 1971,-129-316-293,-23-46-1768,0 0-1,1 0 1,-1 0-1,0 0 1,0 0-1,0 0 1,0 0-1,0 0 0,0 0 1,0 0-1,0 0 1,0 0-1,0 0 1,0 0-1,0 0 1,0 0-1,1 0 1,-13-28 884,-236-487 4584,-189-237-3747,25 168-1780,-23 17 73,343 449-11,41 52 251,-232-318-143,242 321 100,4-2 0,2-2 0,3 0-1,-31-97 1,61 157-239,-1-1 1,1 1-1,1 0 1,0-1-1,0 1 1,0-1-1,1 0 1,0 1 0,0-1-1,2-8 1,0 8-26,1 1 1,0-1 0,0 1-1,0 0 1,1 0 0,1 1-1,-1-1 1,1 1 0,0 0 0,7-8-1,34-30 2,1 1 0,76-52 0,76-45 0,87-51-503,104-62-1508,106-67 791,-434 281 768,958-625-2675,-20-32 2853,-673 447-805,-101 60 800,-172 141 376,-1-3 0,52-64-1,-102 112 6,-1 0-1,1-1 1,-1 1-1,0-1 1,0 0 0,0 0-1,2-7 1,-4 11-65,0-1 1,0 0 0,1 1 0,-1-1 0,0 0 0,0 1-1,0-1 1,0 0 0,0 1 0,0-1 0,0 0-1,-1 1 1,1-1 0,0 1 0,0-1 0,0 0-1,-1 1 1,1-1 0,0 1 0,-1-1 0,1 0-1,0 1 1,-1-1 0,1 1 0,-1-1 0,1 1 0,-1-1-1,0 1 1,-3-2 247,0 1-1,-1 0 1,1 0 0,0 1-1,0-1 1,-1 1-1,1 0 1,0 0 0,-1 1-1,1-1 1,-8 3-1,-211 54 2980,0-1-3197,168-44-380,-99 37 0,130-40-426,1-1-6087</inkml:trace>
  <inkml:trace contextRef="#ctx0" brushRef="#br0" timeOffset="1">11853 5005 24575</inkml:trace>
  <inkml:trace contextRef="#ctx0" brushRef="#br0" timeOffset="2">12208 5563 24575,'4'0'0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1T10:01:48.58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296 1273 24575,'-5'13'0,"0"0"0,1 0 0,0 0 0,-3 25 0,-4 14 0,-78 320-714,-45 404 1,113-572 240,9 1 0,9 1 1,38 348-1,-5-356 473,108 380 0,-94-445 0,6-3 0,5-1 0,118 200 0,-146-285-37,2-2-1,2 1 1,1-3-1,2-2 1,2-1-1,70 58 1,-87-81 27,2 0 1,0-2 0,0 0 0,1-1-1,0-1 1,1-1 0,0-1 0,0-2-1,1 0 1,0-1 0,0-1 0,1-1-1,-1-2 1,0 0 0,1-2-1,27-3 1,-13-3 9,0-2 0,0-1 0,-1-2 0,40-19 0,-2-4-162,124-81 0,122-118-1134,32-89 607,20-92-767,-209 197 1059,-10-8 0,-10-5 0,-10-7 0,183-448 0,-202 374 9,-14-4 0,-13-3 0,74-522 0,-121 451 226,-28 98 538,-13 219 314,-4 0 1,-17-117-1,18 181-515,0-1 0,0 1 1,-1 0-1,0 0 0,-7-13 1,10 21-117,0 0 1,-1 0 0,1 1-1,0-1 1,-1 0 0,1 0 0,-1 1-1,1-1 1,-1 1 0,1-1-1,-1 0 1,0 1 0,1-1-1,-1 1 1,0-1 0,1 1-1,-1 0 1,0-1 0,1 1-1,-1 0 1,0-1 0,0 1 0,0 0-1,1 0 1,-1 0 0,0-1-1,0 1 1,0 0 0,1 0-1,-1 0 1,0 1 0,0-1-1,0 0 1,0 0 0,1 0-1,-1 1 1,0-1 0,0 0 0,1 0-1,-1 1 1,0-1 0,1 1-1,-2 0 1,-6 6 109,2 1 0,-1-1 0,1 1-1,0 0 1,0 1 0,-5 11 0,-164 353 2470,172-364-2651,-141 347-378,-35 135-1169,-20 128 402,-269 1186-1337,354-1202 1823,-36 637-1,129-675 367,43-101-918,36-97 812,-39-286 376,3-1-1,4 0 1,3-2 0,45 86 0,-58-134 472,1-1 0,1 0 0,1-1 0,43 46 1,-55-67-234,-1 0 1,2-1 0,-1 0 0,0 0-1,1 0 1,0-1 0,1-1 0,-1 1 0,1 0-1,0-2 1,0 1 0,0-2 0,0 1-1,0-1 1,1 0 0,-1-1 0,1 0 0,-1-1-1,1 0 1,-1-1 0,12-1 0,-7-1 130,0-2 1,0 1 0,0-3-1,0 1 1,25-15 0,-5-2-41,33-27-1,38-41 245,97-109 1,78-117-1175,-116 113 576,147-235 0,-275 380 113,-2-3 1,-3-1-1,-2 0 0,-3-3 1,-4 0-1,-2-1 0,-3-2 1,-3 1-1,-3-2 0,-3 1 1,-3-1-1,-5-77 0,-2 115-54,-1-2 0,-2 2 0,-1 0 0,-2 1 0,-12-33 0,7 41 0,12 23 0,1-1 0,0 1 0,-1 0 0,1 0 0,0 0 0,-1 0 0,1-1 0,-1 1 0,1 0 0,0 0 0,-1 0 0,1 0 0,-1 0 0,1 0 0,0 0 0,-1 0 0,1 0 0,-1 0 0,1 0 0,0 0 0,-1 0 0,1 1 0,0-1 0,-1 0 0,1 0 0,-1 0 0,1 0 0,0 1 0,-1-1 0,1 0 0,0 0 0,-1 1 0,-1 3 0,-1 0 0,1 0 0,0 0 0,0 0 0,0 0 0,1 0 0,-1 0 0,1 0 0,-1 5 0,-50 291 0,24 12 0,12-123 0,-38 481 0,38-6 0,16-660 0,0 0 0,0 0 0,0 0 0,1 1 0,-1-1 0,1 0 0,2 6 0,-2-9 0,-1-1 0,0 0 0,0 0 0,0 0 0,1 0 0,-1 0 0,0 0 0,0 0 0,0 0 0,1 0 0,-1 0 0,0 0 0,0 0 0,1-1 0,-1 1 0,0 0 0,0 0 0,0 0 0,1 0 0,-1 0 0,0 0 0,0 0 0,0-1 0,0 1 0,1 0 0,-1 0 0,0 0 0,0 0 0,0-1 0,0 1 0,0 0 0,0 0 0,1 0 0,-1 0 0,0-1 0,0 1 0,0 0 0,0 0 0,0-1 0,0 1 0,0 0 0,11-28 0,20-91-54,31-232 0,-55 299-32,87-800-544,-36-7 290,-33 198 245,-24 627 77,-2 22 42,1 0-1,1 0 1,0 0-1,1 0 0,0 0 1,0 1-1,2-1 1,5-15-1,-8 25 10,1 1-1,-1-1 0,0 0 0,1 1 1,-1-1-1,1 1 0,0 0 0,-1-1 1,1 1-1,0 0 0,0 0 0,0 0 1,-1 0-1,1 1 0,0-1 0,0 0 1,1 1-1,-1-1 0,0 1 0,0 0 1,0 0-1,0 0 0,0 0 1,0 0-1,0 0 0,0 0 0,0 1 1,0-1-1,0 1 0,0 0 0,0-1 1,0 1-1,0 0 0,2 2 0,2-1-38,1 1 0,-1 0-1,-1 1 1,1 0 0,-1 0 0,1 0-1,-1 0 1,0 1 0,7 8-1,-9-7 7,0-1 0,0 1 0,0 0 0,-1 0 0,0 0 0,0 0 0,-1 0 0,1 1 0,-1-1 0,-1 0 0,1 1 0,-1-1 0,0 1 0,-1-1 0,1 0 0,-1 1 0,-1-1 0,1 1 0,-1-1 0,0 0 0,-4 10 0,-7 10 0,0 0 0,-2-1 0,-27 34 0,24-32 0,-5 5 0,4-7 0,2 0 0,0 2 0,2 0 0,-13 34 0,27-59 0,0 0 0,0 1 0,1-1 0,-1 0 0,1 1 0,0-1 0,0 1 0,0-1 0,0 0 0,0 1 0,1-1 0,-1 1 0,1-1 0,-1 0 0,1 1 0,0-1 0,0 0 0,0 0 0,0 1 0,0-1 0,1 0 0,-1 0 0,0 0 0,1-1 0,0 1 0,-1 0 0,1-1 0,0 1 0,0-1 0,0 1 0,0-1 0,4 2 0,6 3 0,0-1 0,0 0 0,0 0 0,0-2 0,15 4 0,39 5 0,135 7 0,71-20 0,-205-2 0,-2-2 0,0-4 0,72-18 0,-113 21 0,-1-2 0,0-1 0,-1 0 0,41-25 0,-51 26 0,0-1 0,0 0 0,-1-1 0,-1 0 0,1-1 0,-2 0 0,0-1 0,0 1 0,9-17 0,-12 16 0,0-1 0,-1 1 0,0-2 0,-1 1 0,-1 0 0,0-1 0,-1 1 0,0-2 0,-1 1 0,0 0 0,-1 1 0,-3-22 0,2 32 0,1-1 0,-1 1 0,0 0 0,0 0 0,0 0 0,0 0 0,0 0 0,-1 0 0,1 0 0,-1 0 0,0 1 0,0-1 0,0 1 0,0-1 0,0 1 0,0-1 0,-1 1 0,1 0 0,-1 0 0,0 1 0,0-1 0,0 0 0,1 1 0,-1 0 0,0 0 0,-1-1 0,1 2 0,0-1 0,0 0 0,-4 0 0,-9 0 0,0 0 0,0 1 0,-1 1 0,-27 5 0,37-5 0,-63 9 0,-113 33 0,157-36 0,0 2 0,1 1 0,1 2 0,0 0 0,0 1 0,1 1 0,-33 28 0,49-37 0,1 1 0,0 0 0,1 1 0,0-1 0,0 1 0,0 0 0,1 1 0,0-1 0,0 1 0,1-1 0,0 1 0,0 0 0,1 1 0,-3 15 0,4-19 0,1 0 0,0 0 0,1 0 0,-1 0 0,1 1 0,0-1 0,0 0 0,0 0 0,1 0 0,0 0 0,0-1 0,0 1 0,0-1 0,1 1 0,-1-1 0,1 0 0,0 0 0,1 0 0,-1 0 0,1-1 0,0 1 0,0-1 0,0 0 0,0 0 0,9 4 0,-6-4 0,0 0 0,0 0 0,0-1 0,2 0 0,-2 0 0,1 0 0,-1-1 0,1-1 0,0 1 0,0-1 0,-1-1 0,1 1 0,0-1 0,-1 0 0,1-1 0,-1 0 0,1 0 0,7-4 0,5-3 0,1 0 0,-2-2 0,1 0 0,-2-1 0,24-19 0,44-46-45,-3-2 0,-4-5 0,76-103 0,-94 110-108,-3-5 0,-4-1 0,-3-3-1,-5-1 1,-3-4 0,-4 0 0,30-105 0,-38 78-174,-5-1 0,-6-2 0,-5 0 0,0-126-1,-15 99 339,-7-1 1,-52-287-1,37 329-147,-5 2 0,-48-122 1,54 177 85,-1 1 0,-2 1 0,-3 1 0,-1 1 1,-3 1-1,-42-48 0,65 84 94,0 0 0,-1 1 0,1 0 1,-2 0-1,1 1 0,-1 0 0,-18-9 1,25 15-14,-1-1 0,1 1 0,-1 1 0,1-1 1,-1 0-1,1 1 0,-1 0 0,0 0 0,1 0 1,-1 0-1,0 0 0,1 1 0,-1 0 0,1-1 0,-1 1 1,1 1-1,-1-1 0,1 0 0,0 1 0,-1 0 1,1 0-1,0 0 0,0 0 0,0 0 0,1 1 1,-1-1-1,0 1 0,-2 4 0,-11 11 174,1 1 0,1 1 0,1 0 0,-11 26 0,-44 106 387,64-143-590,-97 257-226,-14 105-675,-5 123 15,-40 435-2304,46 496 3079,106-965-130,18-92-713,16-93 696,5-107 180,-24-145 127,0 0-1,1 0 0,1-1 1,17 31-1,-21-45 116,-1 0 0,1-1 0,0 0 0,1 0-1,0-1 1,0 0 0,0 0 0,1 0 0,0 0 0,1-1 0,-1-1 0,1 1 0,-1-1 0,1 0-1,0-1 1,1 0 0,-1 0 0,0 0 0,1-1 0,-1-1 0,1 1 0,0-2 0,0 1 0,-1-1-1,1 0 1,12-3 0,1 0 119,-1-2 0,-1-1-1,1-1 1,-1 0 0,0-1-1,0-2 1,-1 0 0,-1-1-1,27-20 1,84-74-217,123-131-1,-215 199-67,-1-2 0,-2-1 0,-1-2 0,-3-1 0,-1-2 0,-2 0 0,-3-2 0,-1 0 0,-3-3 0,-1 1 0,-3-2 0,-2 1 0,-2-3 0,-3 2 0,6-96 0,-16 109 0,-2 1 0,-1 0 0,-2-1 0,-1 1 0,-2 1 0,-2 0 0,-1 0 0,-27-54 0,38 87 0,-1 0 0,1 0 0,-1 0 0,0 0 0,0 0 0,0 0 0,0 1 0,0-1 0,-1 1 0,1-1 0,-1 1 0,0 0 0,0 0 0,1 0 0,-1 0 0,-4-1 0,5 3 0,0-1 0,0 1 0,0 0 0,0 0 0,0 0 0,0 0 0,0 1 0,0-1 0,0 0 0,0 1 0,0-1 0,0 1 0,1 0 0,-1 0 0,0 0 0,0 0 0,1 0 0,-1 0 0,0 0 0,1 0 0,0 0 0,-1 1 0,1-1 0,-1 1 0,1-1 0,0 1 0,0 0 0,-1 1 0,-4 8 0,0 1 0,0-1 0,1 1 0,1 0 0,0 0 0,0 0 0,1 0 0,1 2 0,0-2 0,1 1 0,0 0 0,1-1 0,1 1 0,3 24 0,-4-35 0,1 0 0,-1-1 0,1 1 0,0 0 0,-1 0 0,1-1 0,0 1 0,0-1 0,0 1 0,0-1 0,0 1 0,0-1 0,1 0 0,-1 1 0,0-1 0,1 0 0,-1 0 0,1 0 0,-1 0 0,1 0 0,0 0 0,-1 0 0,3 0 0,0 0 0,0-1 0,-1 0 0,1 1 0,-1-1 0,1-1 0,0 1 0,-1 0 0,1-1 0,-1 0 0,1 0 0,3-1 0,8-4 0,0-1 0,-1-1 0,0 0 0,14-10 0,-4-1 0,-18 14 0,0-1 0,1 1 0,-1 0 0,1 1 0,9-4 0,-14 7 0,0 0 0,0 1 0,-1-1 0,1 1 0,0-1 0,0 1 0,0 0 0,0 0 0,0 0 0,0 0 0,0 0 0,0 0 0,0 0 0,-1 1 0,1-1 0,0 1 0,0-1 0,0 1 0,0 0 0,-1 0 0,1 0 0,0 0 0,-1 0 0,1 0 0,-1 0 0,3 3 0,2 2 0,-1 1 0,0-1 0,-1 1 0,1 0 0,-1 0 0,3 9 0,-6-12 0,1 1 0,0-1 0,0 0 0,0 1 0,0-1 0,1 0 0,0 0 0,0-1 0,0 1 0,0-1 0,0 1 0,1-1 0,0 0 0,-1 0 0,1 0 0,0-1 0,1 0 0,-1 1 0,0-1 0,1-1 0,6 3 0,12-1 0,0 1 0,0-3 0,1 0 0,-1-2 0,1 0 0,-1-3 0,0 0 0,0 0 0,-1-2 0,1 0 0,-1-2 0,0-1 0,22-12 0,5-5 0,-3-2 0,0-2 0,-2-1 0,62-59 0,-58 43-73,-2-3-1,-1 0 0,-3-3 0,-3-1 1,61-112-1,-59 83-36,-4-1-1,-4-2 1,42-164-1,-40 77-88,-8-2 0,-7-1 0,-3-224 0,-62-528-680,11 562 602,22 287 277,12 79 0,0 0 0,0-1 1,0 1-1,0 0 0,0 0 0,0 0 1,0 0-1,0 0 0,0 0 0,0-1 1,0 1-1,0 0 0,0 0 0,0 0 1,0 0-1,0 0 0,0-1 0,0 1 1,0 0-1,0 0 0,0 0 0,0 0 1,0 0-1,0 0 0,0-1 0,0 1 1,0 0-1,0 0 0,0 0 0,0 0 0,0 0 1,0 0-1,-1-1 0,1 1 0,0 0 1,0 0-1,0 0 0,0 0 0,0 0 1,0 0-1,0 0 0,-1 0 0,1 0 1,0 0-1,0 0 0,0 0 0,0 0 1,0 0-1,-1 0 0,1 0 0,0 0 1,0 0-1,0 0 0,0 0 0,0 0 1,0 0-1,-1 0 0,1 0 0,0 0 1,0 0-1,0 0 0,0 0 0,0 0 1,-1 0-1,1 0 0,0 0 0,0 0 1,-4 20 115,-2 247 503,6-185-575,4 295-362,9 151-952,11 142 184,73 1067-2766,62-6 2196,-115-1379 1323,-12-140 333,-29-193 119,1-1 0,11 34 0,-15-52-108,0 0 0,0 0-1,0 1 1,0-1 0,0 0 0,0 0 0,0 0-1,0 0 1,0 1 0,0-1 0,0 0 0,0 0 0,0 0-1,0 0 1,0 0 0,0 1 0,0-1 0,0 0-1,0 0 1,1 0 0,-1 0 0,0 0 0,0 0 0,0 0-1,0 1 1,0-1 0,0 0 0,1 0 0,-1 0-1,0 0 1,0 0 0,0 0 0,0 0 0,0 0-1,1 0 1,-1 0 0,0 0 0,0 0 0,0 0 0,0 0-1,1 0 1,-1 0 0,0 0 0,0 0 0,0 0-1,0 0 1,0 0 0,1 0 0,-1 0 0,0 0 0,0 0-1,0 0 1,0-1 0,0 1 0,1 0 0,-1 0-1,0 0 1,0 0 0,0 0 0,0 0 0,0 0-1,0-1 1,0 1 0,0 0 0,1 0 0,4-23 703,1-233-385,-7 215-301,-36-627 1996,17 507-1349,-7 2 0,-54-180 0,54 253-383,-4 2 1,-3 1-1,-4 3 0,-72-116 0,69 135-49,-2 3 1,-3 2-1,-2 1 0,-2 3 1,-110-88-1,72 81-253,59 42 107,-49-41 0,77 57-64,0 0 1,-1-1-1,1 1 1,0 0-1,0 0 1,0-1-1,0 1 1,0 0-1,0-1 1,0 1-1,0-1 1,1 0-1,-1 1 1,0-1 0,1 1-1,0-1 1,-1-1-1,1 1 1,0 1-1,0-1 1,0 0-1,0-1 1,1-1-14,0 0 0,0 0 1,1 1-1,0-1 1,-1 1-1,1-1 0,0 1 1,1 0-1,3-5 0,26-28 35,2 1 1,1 2-1,2 0 0,45-28 0,-35 26-46,-39 29-9,131-102 0,171-98 0,-308 204 0,8-3 0,0 0 0,-1 0 0,21-6 0,-29 11 0,0-1 0,0 1 0,0-1 0,1 1 0,-1 0 0,0 0 0,0-1 0,0 1 0,0 0 0,0 0 0,0 0 0,0 0 0,0 1 0,0-1 0,1 0 0,-1 0 0,0 1 0,0-1 0,0 0 0,0 1 0,0-1 0,0 1 0,0-1 0,0 1 0,-1 0 0,1-1 0,0 1 0,0 0 0,0 0 0,-1 0 0,1-1 0,0 1 0,-1 0 0,1 0 0,-1 0 0,1 0 0,-1 0 0,1 0 0,-1 0 0,0 0 0,1 0 0,-1 0 0,0 1 0,0-1 0,0 0 0,0 0 0,0 1 0,-1 13 0,0-1 0,-1 1 0,-4 15 0,3-16 0,1 0 0,0 0 0,0 0 0,1 0 0,2 19 0,-1-30 0,1 1 0,0-1 0,-1 1 0,2-1 0,-1 1 0,0-1 0,1 0 0,-1 0 0,1 0 0,0 0 0,0 0 0,0 0 0,0 0 0,1-1 0,-1 1 0,1-1 0,0 1 0,-1-1 0,1 0 0,0 0 0,0 0 0,1-1 0,-1 1 0,0-1 0,7 3 0,7 1 0,0-1 0,0-2 0,1 1 0,-1-2 0,0 0 0,1-1 0,-1-1 0,1-1 0,-1 0 0,0-1 0,0-1 0,0-1 0,22-9 0,-21 7 0,-1-1 0,0 0 0,0-1 0,-1-1 0,0-1 0,-1 0 0,0-1 0,-1 0 0,0-1 0,-1-1 0,-1 0 0,13-19 0,-17 19 0,-2 2 0,0-1 0,0 0 0,-1 0 0,-1-1 0,0 0 0,-1 1 0,-1-1 0,0-1 0,0-16 0,-1 23 0,-2 1 0,1-2 0,-1 2 0,-1-1 0,1 1 0,-1 0 0,0 0 0,-1-1 0,-4-7 0,5 11 0,-1 0 0,0 0 0,0 0 0,0 0 0,0 0 0,0 1 0,-1-1 0,0 1 0,0 0 0,0 0 0,0 0 0,0 1 0,-1-1 0,-8-2 0,7 3 0,-1 1 0,1 0 0,0 0 0,-1 1 0,1-1 0,-1 2 0,1-1 0,-1 1 0,1 0 0,0 0 0,-1 0 0,1 1 0,0 0 0,0 1 0,0-1 0,0 1 0,1 0 0,-1 1 0,1-1 0,0 1 0,-6 5 0,1-1 0,0 0 0,1 1 0,0 0 0,1 1 0,0 0 0,0 0 0,1 1 0,0 1 0,-9 20 0,15-30 0,0 0 0,0 0 0,1 1 0,-1-1 0,1 0 0,-1 1 0,1-1 0,0 0 0,0 1 0,0-1 0,0 1 0,0-1 0,0 0 0,1 1 0,-1-1 0,1 0 0,0 1 0,0-1 0,0 0 0,0 0 0,0 0 0,0 0 0,0 0 0,1 0 0,-1 0 0,1 0 0,-1 0 0,1 0 0,0-1 0,0 1 0,0-1 0,0 0 0,3 2 0,4 2 0,1 0 0,0-1 0,0-1 0,0 0 0,1 0 0,15 2 0,30 2 0,1-2 0,-1-3 0,1-2 0,0-3 0,84-15 0,-42-1 0,1-5 0,111-42 0,-175 54 0,-1-2 0,-1-1 0,0-1 0,-1-1 0,47-34 0,-76 47 0,0 1 0,0-1 0,0 0 0,-1 0 0,1 0 0,-1 0 0,0-1 0,0 1 0,2-7 0,-4 10 0,-1 0 0,0 0 0,1 0 0,-1-1 0,0 1 0,0 0 0,0 0 0,1 0 0,-1 0 0,-1 0 0,1 0 0,0-1 0,0 1 0,0 0 0,0 0 0,-1 0 0,1 0 0,-1 0 0,1 0 0,-1 0 0,1 0 0,-1 0 0,1 0 0,-1 0 0,0 0 0,1 0 0,-1 0 0,0 1 0,0-2 0,0 1 0,0 1 0,0-1 0,0 0 0,0 1 0,0-1 0,0 1 0,0-1 0,0 1 0,0 0 0,0 0 0,0-1 0,0 1 0,-1 0 0,1 0 0,0 0 0,-1 0 0,-6 0 0,1 0 0,0 0 0,-1 1 0,1 0 0,0 0 0,-1 0 0,1 1 0,0 1 0,0 0 0,0 0 0,0 0 0,1 0 0,-1 1 0,-7 5 0,-3 3 0,0 1 0,1 0 0,-28 29 0,36-33 0,0 1 0,0 0 0,1 1 0,-10 21 0,14-25 0,1-2 0,-1 1 0,1 0 0,1 0 0,-1 0 0,1 0 0,0 1 0,1-1 0,-1 0 0,1 0 0,2 12 0,-2-16 0,0-1 0,1 1 0,-1-1 0,0 1 0,1-1 0,0 1 0,-1-1 0,1 0 0,0 1 0,0-1 0,0 0 0,0 1 0,0-1 0,0 0 0,0 0 0,0 0 0,1 0 0,-1 0 0,0 0 0,0 0 0,1-1 0,-1 1 0,1 0 0,-1-1 0,1 1 0,-1-1 0,3 1 0,2 0 0,0-1 0,-1 0 0,1 0 0,-1 0 0,1-1 0,10-2 0,14-5 0,0-1 0,-2-2 0,1 0 0,-1-2 0,37-24 0,-19 7 0,-2-1 0,54-50 0,-59 43-36,-2-2-1,-2-2 1,-2 0 0,-1-3-1,-3-1 1,-1-1-1,-3-1 1,-1-1-1,-3-1 1,-2-1-1,16-72 1,-15 35-33,-4-3-1,-3 1 1,-5-1-1,-4 0 1,-4-1-1,-11-91 0,-2 82 70,-4-1 0,-4 2 0,-5-1 0,-53-130 0,34 122 0,-5 3 0,-5 2 0,-104-149 0,135 218 0,-2 0 0,-1 3 0,-56-53 0,81 83 0,-2-1 0,1 0 0,0 1 0,0 0 0,-1 0 0,1 0 0,-1 0 0,0 0 0,0 1 0,-4-2 0,7 3 0,0 0 0,0 0 0,0 0 0,1 0 0,-1 0 0,0 0 0,0 0 0,0 1 0,1-1 0,-1 0 0,0 0 0,0 1 0,1-1 0,-1 1 0,0-1 0,1 0 0,-1 1 0,0-1 0,1 1 0,-1 0 0,0 0 0,-1 1 0,1 1 0,0-1 0,-1 1 0,1-1 0,0 1 0,1-1 0,-1 1 0,0-1 0,0 5 0,-1 17 0,1 0 0,3 44 0,22 148 0,32 140-472,48 178-1419,52 179 495,59 157-2296,57 111 2151,973 2731-4055,-1030-3141 5465,-60-169 436,-143-371-164,140 331 1971,-129-316-293,-23-46-1768,0 0-1,1 0 1,-1 0-1,0 0 1,0 0-1,0 0 1,0 0-1,0 0 0,0 0 1,0 0-1,0 0 1,0 0-1,0 0 1,0 0-1,0 0 1,0 0-1,1 0 1,-13-28 884,-236-487 4584,-189-237-3747,25 168-1780,-23 17 73,343 449-11,41 52 251,-232-318-143,242 321 100,4-2 0,2-2 0,3 0-1,-31-97 1,61 157-239,-1-1 1,1 1-1,1 0 1,0-1-1,0 1 1,0-1-1,1 0 1,0 1 0,0-1-1,2-8 1,0 8-26,1 1 1,0-1 0,0 1-1,0 0 1,1 0 0,1 1-1,-1-1 1,1 1 0,0 0 0,7-8-1,34-30 2,1 1 0,76-52 0,76-45 0,87-51-503,104-62-1508,106-67 791,-434 281 768,958-625-2675,-20-32 2853,-673 447-805,-101 60 800,-172 141 376,-1-3 0,52-64-1,-102 112 6,-1 0-1,1-1 1,-1 1-1,0-1 1,0 0 0,0 0-1,2-7 1,-4 11-65,0-1 1,0 0 0,1 1 0,-1-1 0,0 0 0,0 1-1,0-1 1,0 0 0,0 1 0,0-1 0,0 0-1,-1 1 1,1-1 0,0 1 0,0-1 0,0 0-1,-1 1 1,1-1 0,0 1 0,-1-1 0,1 0-1,0 1 1,-1-1 0,1 1 0,-1-1 0,1 1 0,-1-1-1,0 1 1,-3-2 247,0 1-1,-1 0 1,1 0 0,0 1-1,0-1 1,-1 1-1,1 0 1,0 0 0,-1 1-1,1-1 1,-8 3-1,-211 54 2980,0-1-3197,168-44-380,-99 37 0,130-40-426,1-1-6087</inkml:trace>
  <inkml:trace contextRef="#ctx0" brushRef="#br0" timeOffset="1">11853 5005 24575</inkml:trace>
  <inkml:trace contextRef="#ctx0" brushRef="#br0" timeOffset="2">12208 5563 24575,'4'0'0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4T05:43:18.14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207 889 24575,'-4'9'0,"1"0"0,0 0 0,0 0 0,-2 18 0,-2 9 0,-55 224-714,-32 281 1,79-398 240,7 0 0,6 1 1,26 242-1,-3-247 473,76 264 0,-67-310 0,5-2 0,4-1 0,82 139 0,-103-198-37,3-2-1,0 2 1,2-4-1,0 0 1,2-1-1,49 40 1,-60-56 27,0 0 1,1-2 0,0 0 0,0 0-1,0-1 1,1-1 0,1 0 0,-1-2-1,0 0 1,1 0 0,0-1 0,0-1-1,0-2 1,0 1 0,0-2-1,20-1 1,-10-3 9,0-2 0,0 0 0,0-1 0,27-14 0,-1-2-162,87-57 0,85-82-1134,22-63 607,14-64-767,-146 138 1059,-7-6 0,-6-3 0,-8-5 0,128-313 0,-141 261 9,-10-2 0,-9-3 0,52-364 0,-85 315 226,-19 68 538,-9 153 314,-3 0 1,-12-82-1,12 127-515,1-1 0,-1 1 1,0-1-1,0 1 0,-5-9 1,7 14-117,0 0 1,0 1 0,0 0-1,0-1 1,-1 0 0,1 1 0,-1 0-1,1-1 1,0 1 0,0-1-1,-1 0 1,0 1 0,1 0-1,-1 0 1,1-1 0,0 1-1,-1 0 1,0-1 0,1 1-1,0 0 1,-1 0 0,0 0 0,1 0-1,0 0 1,-1 0 0,0-1-1,0 1 1,1 0 0,0 0-1,-1 0 1,0 1 0,1-1-1,-1 0 1,0 0 0,1 0-1,0 0 1,-1 0 0,0 0 0,1 0-1,-1 1 1,1-1 0,0 1-1,-2-1 1,-3 5 109,1 1 0,-1-1 0,1 0-1,-1 1 1,1 0 0,-4 8 0,-114 247 2470,120-255-2651,-98 242-378,-25 95-1169,-14 89 402,-188 828-1337,247-839 1823,-24 445-1,89-471 367,30-72-918,26-66 812,-28-201 376,3 0-1,2 0 1,2-2 0,32 61 0,-41-94 472,1-1 0,0 0 0,1 0 0,31 32 1,-39-48-234,-1 1 1,1-1 0,0 1 0,0-1-1,1 0 1,-1 0 0,2-2 0,-2 2 0,2-1-1,-1-1 1,0 1 0,0-1 0,1 0-1,-1-1 1,1 0 0,-1 0 0,1 0 0,-1-1-1,1 0 1,0-1 0,7 0 0,-4-1 130,0-2 1,0 1 0,-1-1-1,1-1 1,17-9 0,-3-2-41,23-19-1,26-29 245,68-75 1,55-83-1175,-82 80 576,103-165 0,-191 266 113,-3-2 1,-1-1-1,-2 0 0,-2-2 1,-2 0-1,-2-1 0,-3-1 1,-1 0-1,-2 0 0,-2-1 1,-3 0-1,-3-53 0,-1 80-54,-1-2 0,-2 1 0,0 1 0,-2 0 0,-8-22 0,5 28 0,9 16 0,0-1 0,0 1 0,-1 0 0,1 0 0,0 0 0,-1 0 0,1-1 0,-1 1 0,1 0 0,0 0 0,0 0 0,0 0 0,-1 0 0,1 0 0,0 0 0,-1 0 0,1 0 0,0 0 0,0 0 0,0 0 0,-1 0 0,1 1 0,0-1 0,-1 0 0,1 0 0,0 0 0,0 0 0,0 1 0,-1-1 0,1 0 0,0 0 0,-1 0 0,0 3 0,-1 0 0,0 0 0,1 0 0,-1-1 0,1 1 0,0 0 0,0 0 0,0 0 0,0 3 0,-35 203 0,16 9 0,9-86 0,-27 336 0,27-5 0,11-460 0,0 0 0,0 0 0,0-1 0,1 2 0,-1-1 0,0 0 0,2 4 0,-1-7 0,-1 0 0,0 0 0,0 0 0,0 0 0,1 0 0,-1 0 0,0 0 0,0 0 0,0 0 0,1 0 0,-1 0 0,0 0 0,0 0 0,0 0 0,0 0 0,0 0 0,0 0 0,0 0 0,1 0 0,-1 0 0,0 0 0,0 0 0,0-1 0,0 1 0,1 0 0,-1 0 0,0 0 0,0 0 0,0-1 0,0 1 0,0 0 0,0 0 0,0 0 0,0 0 0,0-1 0,0 1 0,0 0 0,0 0 0,0 0 0,0 0 0,0 0 0,8-20 0,14-63-54,21-162 0,-38 209-32,60-559-544,-24-5 290,-24 139 245,-16 437 77,-2 16 42,1-1-1,1 1 1,0 0-1,0-1 0,1 1 1,-1 0-1,2 0 1,3-11-1,-5 18 10,0 0-1,0-1 0,0 1 0,0 0 1,0 0-1,0 0 0,0 1 0,0-2 1,1 1-1,-1 1 0,0-1 0,1 0 1,-2 1-1,2 0 0,-1-1 0,1 0 1,0 1-1,-1 0 0,1 0 0,-1 0 1,0 0-1,1 0 0,-1 0 1,1 0-1,-1 0 0,0 0 0,1 0 1,-1 0-1,0 1 0,1 0 0,-1-1 1,1 0-1,-1 1 0,2 1 0,1 0-38,1 0 0,-1 0-1,0 1 1,0-1 0,-1 1 0,1 0-1,0 0 1,-1 0 0,6 6-1,-7-5 7,0 0 0,0 0 0,0 0 0,0 1 0,-1-1 0,0 0 0,0 0 0,1 1 0,-2-1 0,0 0 0,1 1 0,-1-1 0,0 1 0,-1-1 0,1 1 0,0 0 0,-2-1 0,1 1 0,0-1 0,0 0 0,-4 7 0,-4 7 0,0 0 0,-1 0 0,-20 23 0,18-22 0,-4 3 0,3-4 0,1-1 0,0 2 0,1 0 0,-8 24 0,18-42 0,0 0 0,1 1 0,0 0 0,-1-1 0,1 1 0,0 0 0,0 0 0,0-1 0,0 1 0,0 0 0,1-1 0,-1 1 0,0 0 0,0-1 0,1 1 0,0-1 0,0 1 0,-1-1 0,1 1 0,0 0 0,0-1 0,0 1 0,-1-1 0,2 0 0,-1 0 0,0 0 0,0 0 0,1 0 0,-1 0 0,1 1 0,-1-2 0,3 2 0,4 3 0,1-2 0,-1 1 0,1-1 0,-1-1 0,11 3 0,27 3 0,94 6 0,50-15 0,-143-1 0,-2-2 0,1-2 0,49-13 0,-78 15 0,-1-2 0,0 0 0,0 0 0,28-18 0,-36 19 0,0-2 0,1 1 0,-2-1 0,0 0 0,1-1 0,-2 1 0,1-2 0,-1 2 0,6-13 0,-7 12 0,-1-1 0,-1 0 0,1-1 0,-1 1 0,-1 0 0,0 0 0,-1-1 0,1 0 0,-2 0 0,1 0 0,-1 1 0,-2-15 0,1 22 0,1-1 0,-1 1 0,1 0 0,-1 0 0,0 0 0,1 0 0,-1 0 0,0-1 0,0 1 0,-1 0 0,1 1 0,0-1 0,-1 0 0,1 0 0,-1 1 0,1-1 0,-1 0 0,1 1 0,-2 0 0,1 0 0,0-1 0,0 1 0,1 0 0,-1 1 0,0-1 0,-1 0 0,1 1 0,0-1 0,0 0 0,-3 0 0,-7 1 0,1-1 0,0 1 0,-1 1 0,-18 3 0,25-3 0,-44 6 0,-79 23 0,110-25 0,0 1 0,0 1 0,2 1 0,-1 1 0,0 0 0,1 0 0,-23 21 0,34-27 0,1 1 0,0 1 0,0 0 0,1-1 0,-1 1 0,1-1 0,0 2 0,0-1 0,0 1 0,1-2 0,0 2 0,0 0 0,1 0 0,-3 11 0,3-14 0,1 1 0,0-1 0,1 1 0,-1-1 0,1 1 0,-1 0 0,1-1 0,0 1 0,0-1 0,1 1 0,-1-1 0,0 0 0,1 0 0,0 0 0,-1 0 0,1 0 0,1 0 0,-1-1 0,0 1 0,1-1 0,0 1 0,0-1 0,0 0 0,-1 0 0,7 3 0,-4-3 0,0 0 0,0 1 0,0-2 0,1 0 0,-1 1 0,1-1 0,-1 0 0,0-1 0,1 1 0,-1-1 0,0-1 0,1 1 0,-1-1 0,0 0 0,1 0 0,-1 0 0,0-1 0,6-2 0,3-2 0,1 0 0,-2-2 0,1 0 0,-2 0 0,18-14 0,30-32-45,-2-1 0,-3-3 0,53-73 0,-65 77-108,-3-3 0,-2-1 0,-3-2-1,-3-1 1,-2-2 0,-2-1 0,20-73 0,-26 55-174,-4-1 0,-4-1 0,-4-1 0,1-87-1,-11 68 339,-5 0 1,-36-200-1,25 229-147,-3 2 0,-33-86 1,37 125 85,0-1 0,-2 2 0,-2 0 0,0 1 1,-3 0-1,-29-32 0,46 57 94,-1 1 0,0 0 0,0 1 1,-1-1-1,1 1 0,-1 0 0,-13-6 1,18 11-14,-1-2 0,1 1 0,0 1 0,-1 0 1,1-1-1,0 1 0,-1 0 0,0 0 0,1 0 1,-1 0-1,0 0 0,1 1 0,-1-1 0,1 0 0,0 1 1,-1 1-1,1-2 0,0 1 0,-1 0 0,1 1 1,0-1-1,-1 1 0,1-1 0,0 0 0,1 1 1,-1 0-1,0 0 0,-2 3 0,-7 7 174,1 2 0,0 0 0,1 0 0,-8 18 0,-30 74 387,44-100-590,-68 180-226,-9 73-675,-4 86 15,-28 303-2304,33 347 3079,73-674-130,13-64-713,11-65 696,4-75 180,-17-101 127,0 0-1,0 1 0,2-2 1,11 22-1,-15-32 116,0 1 0,1-1 0,-1 0 0,1 0-1,0-1 1,1 0 0,-1 0 0,1 0 0,0 1 0,0-2 0,0 0 0,1 0 0,-1 0 0,0 0-1,1-1 1,0 0 0,0 0 0,-1 0 0,1 0 0,0-2 0,0 2 0,1-2 0,-1 1 0,0-1-1,0 0 1,8-3 0,2 1 119,-2-1 0,0-1-1,1-1 1,-1 0 0,0-1-1,0-1 1,-1 0 0,0 0-1,18-15 1,59-51-217,86-92-1,-150 139-67,-1-1 0,-1-1 0,-1-1 0,-2-1 0,-1-2 0,-1 1 0,-2-2 0,-1 0 0,-2-2 0,-1 1 0,-2-1 0,-1 0 0,-2-2 0,-1 1 0,3-67 0,-11 77 0,-1 0 0,0 0 0,-3 0 0,0 0 0,-1 1 0,-2 0 0,0-1 0,-19-36 0,26 59 0,0 1 0,0 0 0,0 0 0,-1 0 0,1 0 0,-1 0 0,1 1 0,0-2 0,-1 2 0,0-1 0,0 1 0,0-1 0,0 1 0,1-1 0,-2 1 0,-1-1 0,2 2 0,1-1 0,-1 1 0,1 0 0,0 0 0,-1 0 0,1 0 0,-1 1 0,1-1 0,0 0 0,-1 1 0,1-1 0,-1 0 0,2 1 0,-2 0 0,1-1 0,0 1 0,0 0 0,-1-1 0,1 1 0,0 0 0,1 0 0,-2 0 0,2 0 0,-2 0 0,1 0 0,1 0 0,-1 1 0,0 0 0,-4 5 0,1 2 0,0-2 0,1 2 0,0-1 0,0 0 0,0 1 0,1-1 0,1 2 0,-1-2 0,2 1 0,-1 1 0,1-2 0,1 1 0,1 17 0,-2-25 0,1 1 0,-1-2 0,1 2 0,0-1 0,-1 1 0,0-2 0,1 2 0,0-2 0,-1 2 0,1-2 0,0 2 0,-1-2 0,2 1 0,-2 1 0,1-2 0,1 1 0,-2 0 0,2-1 0,-2 1 0,2 0 0,-1-1 0,0 1 0,2 0 0,-1 0 0,1-1 0,-1 0 0,1 0 0,-1 0 0,1 0 0,0 0 0,-1 0 0,1-1 0,-1 0 0,1 0 0,1 0 0,7-3 0,-1-1 0,0-1 0,0 1 0,10-8 0,-4 0 0,-12 10 0,1-2 0,0 2 0,-1-1 0,1 2 0,6-4 0,-10 5 0,1 1 0,-1 0 0,0-1 0,0 1 0,0-1 0,1 1 0,-1 0 0,1 0 0,-1 0 0,0 0 0,1 0 0,-1 0 0,1 0 0,-2 1 0,2-1 0,-1 1 0,1-1 0,-1 0 0,0 1 0,0 0 0,0-1 0,1 1 0,-2 0 0,2-1 0,-1 1 0,1 2 0,3 1 0,-2 1 0,1-1 0,-2 1 0,2 0 0,-1 0 0,2 6 0,-5-8 0,2 0 0,-1 0 0,0 0 0,1 0 0,-1 0 0,1 0 0,0 0 0,0-1 0,1 1 0,-1-1 0,0 1 0,1-1 0,-1 0 0,0 0 0,1 0 0,0-1 0,1 1 0,-2 0 0,1-1 0,1 0 0,3 2 0,9-1 0,0 1 0,0-3 0,1 1 0,-1-2 0,1 1 0,-1-3 0,0 0 0,0 0 0,0-1 0,0 0 0,-1-2 0,0 0 0,16-9 0,3-3 0,-2-1 0,0-2 0,-1-1 0,43-41 0,-40 30-73,-2-2-1,-1 1 0,-1-3 0,-3-1 1,43-78-1,-42 58-36,-2-1-1,-3-1 1,29-114-1,-27 53-88,-6-1 0,-5-1 0,-2-156 0,-44-369-680,8 392 602,16 201 277,8 55 0,0 0 0,0 0 1,0 0-1,0 0 0,0 0 0,0 0 1,0 0-1,0 0 0,0 0 0,0-1 1,0 1-1,0 0 0,0 0 0,0 0 1,0 0-1,0 0 0,0-1 0,0 1 1,0 0-1,0 0 0,0 0 0,0 0 1,0 0-1,0 0 0,0-1 0,0 1 1,0 0-1,0 0 0,0 0 0,0 0 0,0 0 1,0 0-1,-1 0 0,1 0 0,0 0 1,0 0-1,0 0 0,0 0 0,0 0 1,0 0-1,0 0 0,0 0 0,0 0 1,0 0-1,0 0 0,0 0 0,0 0 1,0 0-1,-1 0 0,1 0 0,0 0 1,0 0-1,0 0 0,0 0 0,0 0 1,0 0-1,-1 0 0,1 0 0,0 0 1,0 0-1,0 0 0,0 0 0,0 0 1,0 0-1,0 0 0,0 0 0,0 0 1,-3 14 115,-1 172 503,4-129-575,2 207-362,7 104-952,8 100 184,51 745-2766,43-5 2196,-80-962 1323,-9-98 333,-20-135 119,1 0 0,7 23 0,-10-36-108,0 0 0,0 0-1,0 1 1,0-1 0,0 0 0,0 0 0,0 0-1,0 0 1,0 0 0,0 0 0,0 0 0,0 0 0,0 0-1,0 0 1,0 0 0,0 1 0,0-1 0,0 0-1,0 0 1,1 0 0,-1 0 0,0 0 0,0 0 0,0 0-1,0 1 1,0-1 0,0 0 0,1 0 0,-1 0-1,0 0 1,0 0 0,0 0 0,0 0 0,0 0-1,0 0 1,0 0 0,0 0 0,0 0 0,0 0 0,0 0-1,1 0 1,-1 0 0,0 0 0,0 0 0,0 0-1,0 0 1,0 0 0,1 0 0,-1 0 0,0 0 0,0 0-1,0 0 1,0-1 0,0 1 0,0 0 0,0 0-1,0 0 1,0 0 0,0 0 0,0 0 0,0 0-1,0-1 1,0 1 0,0 0 0,1 0 0,3-16 703,0-163-385,-5 151-301,-25-438 1996,12 353-1349,-4 2 0,-39-126 0,38 177-383,-3 2 1,-1 0-1,-4 2 0,-50-81 0,49 95-49,-2 1 1,-2 2-1,-2 1 0,-1 1 1,-76-60-1,49 55-253,42 30 107,-35-28 0,55 39-64,-1 1 1,0-2-1,0 1 1,0 1-1,1-1 1,-1 0-1,0 0 1,0 0-1,1 0 1,-1 0-1,0 0 1,1-1-1,0 2 1,-1-2 0,1 2-1,0-2 1,-1 0-1,1 1 1,0 0-1,0 0 1,0-1-1,0 0 1,1-1-14,0 1 0,-1-1 1,2 1-1,-1-1 1,0 1-1,0-1 0,1 1 1,0 0-1,2-4 0,18-19 35,2 1 1,0 1-1,2 0 0,31-20 0,-24 19-46,-27 19-9,91-70 0,119-69 0,-214 143 0,5-3 0,0 1 0,-1-1 0,15-3 0,-20 7 0,-1-1 0,1 1 0,0-1 0,0 1 0,0 0 0,0 0 0,-1 0 0,1 0 0,0 0 0,-1 0 0,1 0 0,0 0 0,-1 0 0,1 0 0,0 0 0,0 0 0,0 1 0,0-1 0,-1 0 0,1 1 0,0-1 0,-1 0 0,1 0 0,0 1 0,-1 0 0,0-1 0,1 0 0,0 1 0,0 0 0,-1 0 0,0-1 0,1 0 0,-1 1 0,1 0 0,-1-1 0,0 1 0,0 0 0,1-1 0,-1 1 0,0 0 0,1-1 0,-1 1 0,0 1 0,0-2 0,0 1 0,0 0 0,0 0 0,-1 10 0,0-2 0,0 2 0,-3 10 0,2-11 0,0-1 0,1 1 0,-1 0 0,2 0 0,0 13 0,0-21 0,1 1 0,0-1 0,-1 0 0,1 1 0,0-1 0,0 0 0,0 0 0,0 1 0,0-1 0,1 0 0,-1 0 0,0 0 0,1 0 0,0-1 0,-1 2 0,1-2 0,0 1 0,0-1 0,0 1 0,0-1 0,0 1 0,1-2 0,-1 2 0,0-2 0,5 3 0,5 1 0,0-2 0,0 0 0,0 0 0,0-1 0,0-1 0,1 0 0,-2 0 0,2-2 0,-1 1 0,0-1 0,0-1 0,-1 0 0,17-7 0,-16 5 0,0-1 0,0 1 0,0-2 0,-1 0 0,0 0 0,0-1 0,-1 0 0,0-1 0,0 0 0,-1-1 0,-1 1 0,10-14 0,-13 13 0,-1 1 0,1 0 0,-1 0 0,-1 0 0,0-1 0,0 1 0,-1 0 0,-1-1 0,1-1 0,-1-10 0,0 15 0,-2 1 0,1-1 0,-1 1 0,0 0 0,0 0 0,0 0 0,0 0 0,-2-1 0,-1-4 0,2 7 0,0 0 0,0 0 0,0 1 0,0-1 0,0 0 0,0 1 0,-1-1 0,0 1 0,0 0 0,0 0 0,1 0 0,-1 0 0,-1 0 0,-5-1 0,5 1 0,-1 2 0,1-1 0,0 0 0,-1 1 0,1 0 0,-1 0 0,1 0 0,-1 1 0,1 0 0,-1-1 0,0 1 0,1 1 0,0-1 0,0 1 0,0-1 0,0 1 0,0 1 0,0-1 0,0 0 0,1 1 0,-5 4 0,1-2 0,0 1 0,1 0 0,0 0 0,0 1 0,1 0 0,-1 0 0,1 1 0,0 0 0,-6 15 0,10-22 0,1 0 0,-1 1 0,1 0 0,-1-1 0,1 1 0,-1 0 0,1-1 0,0 1 0,0 0 0,0-1 0,0 1 0,0 0 0,0-1 0,1 1 0,-1-1 0,1 1 0,0 0 0,-1-1 0,1 1 0,0-1 0,-1 1 0,1-1 0,0 0 0,0 1 0,0-1 0,0 1 0,0-1 0,0 0 0,1 0 0,-1 0 0,1 0 0,-1 0 0,2 1 0,4 1 0,0 1 0,0-1 0,0-1 0,0 0 0,0 0 0,11 1 0,22 2 0,-1-1 0,0-3 0,1-1 0,0-2 0,58-10 0,-28-2 0,-1-2 0,79-31 0,-123 39 0,-1-2 0,0 0 0,0-1 0,-1-1 0,33-24 0,-54 33 0,1 1 0,0 0 0,0-1 0,-1 0 0,1 0 0,-1 0 0,0 0 0,0 0 0,1-5 0,-2 8 0,-1-1 0,0 0 0,1 1 0,-1-2 0,0 1 0,0 1 0,0-1 0,1 0 0,-1 1 0,-1-1 0,1 0 0,0 0 0,0 0 0,0 1 0,0-1 0,-1 0 0,1 0 0,-1 1 0,1-1 0,0 0 0,0 1 0,-1-1 0,1 0 0,-1 1 0,1-1 0,0 0 0,-1 0 0,0 1 0,1-1 0,-1 0 0,0 1 0,0 0 0,1-1 0,-1 1 0,0-1 0,1 1 0,-1 0 0,0 0 0,1 0 0,-1 0 0,0-1 0,1 1 0,-2 0 0,1 0 0,1 0 0,-2 0 0,-3 0 0,0 0 0,0 0 0,-1 1 0,1-1 0,1 1 0,-2 0 0,1 0 0,0 1 0,0 0 0,0 0 0,1 0 0,-1 1 0,1-1 0,-6 5 0,-2 1 0,0 1 0,1 0 0,-20 20 0,26-22 0,-1 0 0,0 0 0,1 0 0,-6 16 0,9-18 0,0-2 0,0 1 0,1 0 0,0 1 0,0-1 0,0 0 0,0 1 0,1-1 0,-1 0 0,1 0 0,2 9 0,-2-12 0,0 0 0,1 1 0,-1-2 0,0 2 0,0-2 0,1 2 0,-1-2 0,1 1 0,-1 1 0,1-2 0,0 1 0,-1 0 0,1 0 0,0 0 0,0-1 0,-1 1 0,2 0 0,-2-1 0,1 1 0,0 0 0,0-1 0,0 1 0,0-1 0,0 0 0,0 1 0,0-1 0,2 1 0,1-1 0,0 0 0,0 0 0,0 0 0,-1 0 0,2 0 0,6-2 0,10-4 0,0 0 0,-2-2 0,1 0 0,0-1 0,25-17 0,-13 6 0,-1-2 0,38-35 0,-42 31-36,-1-2-1,-2-1 1,-1-1 0,-1-1-1,-1-1 1,-2-1-1,-1-1 1,-2 0-1,-1-1 1,-2 0-1,12-51 1,-11 24-33,-3-1-1,-2 0 1,-3-1-1,-4 1 1,-2-1-1,-7-64 0,-2 57 70,-3 0 0,-3 1 0,-3 0 0,-37-91 0,23 85 0,-3 2 0,-3 1 0,-73-104 0,94 153 0,-1-1 0,-1 3 0,-39-37 0,57 57 0,-2 0 0,1 0 0,0 1 0,0-1 0,-1 1 0,1 0 0,-1-1 0,0 1 0,1 0 0,-4-1 0,5 2 0,1 0 0,-1 0 0,0 0 0,1 0 0,0 0 0,-1 0 0,0 0 0,0 1 0,1-1 0,0 0 0,-1 0 0,0 0 0,1 0 0,0 1 0,-1-1 0,1 0 0,-1 1 0,1-1 0,0 1 0,-1-1 0,0 1 0,0 0 0,0 1 0,0 0 0,0 0 0,0-1 0,1 1 0,0 0 0,-1 0 0,0-1 0,0 4 0,0 12 0,0 0 0,3 30 0,15 104 0,22 97-472,33 125-1419,37 125 495,41 109-2296,40 78 2151,679 1907-4055,-719-2194 5465,-41-117 436,-101-259-164,98 230 1971,-90-220-293,-16-32-1768,0 0-1,1 0 1,-1 0-1,0 0 1,0 0-1,0 0 1,0 0-1,0 0 0,0 0 1,0 0-1,0 0 1,0 0-1,0 0 1,0 0-1,0 0 1,0 0-1,1 0 1,-10-19 884,-164-341 4584,-132-165-3747,17 118-1780,-15 11 73,238 313-11,30 37 251,-163-222-143,170 224 100,2-1 0,1-2 0,3 0-1,-22-67 1,43 109-239,-1-1 1,0 2-1,1-1 1,1-1-1,-1 1 1,0 0-1,1-1 1,0 1 0,0 0-1,2-7 1,-1 7-26,1 0 1,0-1 0,0 1-1,1 1 1,-1-1 0,2 0-1,-1 1 1,0-1 0,1 1 0,4-6-1,24-20 2,1 0 0,53-37 0,53-30 0,60-37-503,74-42-1508,73-48 791,-303 197 768,669-437-2675,-14-21 2853,-469 311-805,-72 42 800,-119 98 376,-1-1 0,36-46-1,-71 79 6,0 0-1,0-1 1,-1 1-1,1 0 1,-1-1 0,1 0-1,0-5 1,-2 8-65,0 0 1,0-1 0,1 1 0,-1-1 0,0 0 0,0 1-1,0 0 1,0-1 0,0 1 0,0-1 0,0 1-1,-1 0 1,1-1 0,0 1 0,0-1 0,0 1-1,0 0 1,0-1 0,0 1 0,-1-1 0,1 0-1,0 1 1,-1 0 0,1 0 0,0-1 0,0 1 0,-1-1-1,0 1 1,-2-1 247,1 0-1,-2 1 1,1-1 0,1 1-1,-1-1 1,-1 1-1,1 0 1,1 0 0,-2 1-1,1-1 1,-5 2-1,-148 38 2980,1-1-3197,116-31-380,-68 26 0,90-27-426,1-2-6087</inkml:trace>
  <inkml:trace contextRef="#ctx0" brushRef="#br0" timeOffset="1">8275 3494 24575</inkml:trace>
  <inkml:trace contextRef="#ctx0" brushRef="#br0" timeOffset="2">8523 3884 24575,'3'0'0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11:18:08.87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111 1740 24575,'-1'0'0,"1"1"0,-1-1 0,1 0 0,-1 0 0,1 1 0,-1-1 0,0 0 0,1 1 0,0-1 0,-1 0 0,1 1 0,-1-1 0,1 1 0,-1-1 0,1 1 0,0-1 0,-1 1 0,1-1 0,0 1 0,0-1 0,-1 1 0,1-1 0,0 1 0,0 0 0,0-1 0,0 1 0,0-1 0,0 1 0,0 0 0,-3 6 0,-9 34 0,2 0 0,-8 61 0,-11 116-265,10 2 1,9 0-1,10 0 0,48 377 0,-35-512 265,4 0 0,3-1 0,5-2 0,51 122 0,-63-178 0,0-1 0,2 0 0,0-1 0,2 0 0,1-1 0,1-1 0,0-1 0,31 25 0,-32-32 0,2-1 0,-1-1 0,1 0 0,1-1 0,0-2 0,1 0 0,0-1 0,0-1 0,0-1 0,40 5 0,-17-7-9,0-1 0,0-3 0,0-2 0,0-2 0,-1-1 0,1-3 0,45-14 0,-12-2-160,-1-3 0,-1-3 0,80-46 0,-61 22 131,-3-4 1,-2-4 0,-3-4-1,88-86 1,-82 60 46,-5-4 0,-3-4 1,79-122-1,-114 145 201,-4-2 1,50-115-1,-77 146-105,-1 1 0,-3-2 1,-2 0-1,-2-1 0,7-83 0,-16 119-105,-1 0 0,-1 0 0,0 1 0,-1-1 0,0 0 0,-1 1 0,-1-1 0,0 1 0,-10-26 0,13 38-1,-1 0 0,1-1-1,0 1 1,-1 0 0,0 0 0,1 0-1,-1 0 1,0 0 0,0 0 0,1 0-1,-1 0 1,0 0 0,0 0 0,0 0-1,0 0 1,0 1 0,0-1 0,0 0-1,-1 1 1,1-1 0,0 1 0,0-1-1,0 1 1,-1 0 0,1-1 0,0 1-1,0 0 1,-1 0 0,1 0 0,0 0-1,-2 0 1,0 2 15,0-1 1,0 1-1,0 0 0,1 0 1,-1 0-1,1 0 0,-1 1 0,1-1 1,0 1-1,0-1 0,0 1 1,0 0-1,-1 3 0,-17 32 146,3 0 0,1 1 0,2 0 0,-14 60 0,-10 56-306,-35 309-1,64-355 74,5 1-1,5 0 1,27 190 0,-18-244 73,2 0 0,3 0 0,40 96 0,-43-125 0,1-1 0,1 0 0,1-1 0,2 0 0,0-2 0,2 0 0,0-1 0,1 0 0,26 19 0,-37-34-3,1 0 1,0 0-1,0-1 1,0 0 0,1-1-1,-1 0 1,1-1-1,1 0 1,15 3-1,-22-6 8,-1-1-1,1 0 1,-1 1-1,1-1 1,-1-1-1,1 1 1,-1-1 0,1 1-1,-1-1 1,1-1-1,-1 1 1,0-1-1,0 1 1,0-1-1,0 0 1,0-1-1,0 1 1,0-1-1,-1 1 1,1-1-1,-1 0 1,0-1-1,0 1 1,0-1-1,0 1 1,3-7 0,5-9 53,-2-1 1,0 0 0,-2 0 0,0 0 0,-1-1 0,-1 0 0,-1-1 0,1-21 0,2-177-101,-10 150 42,0 32 0,4-56 0,-1 94 0,0-1 0,0 1 0,0-1 0,0 0 0,0 1 0,0-1 0,0 0 0,0 1 0,0-1 0,0 1 0,0-1 0,1 1 0,-1-1 0,0 0 0,0 1 0,1-1 0,-1 1 0,0-1 0,1 1 0,-1-1 0,0 1 0,1-1 0,-1 1 0,1-1 0,-1 1 0,1 0 0,-1-1 0,2 0 0,10 13 0,11 39 0,123 479 0,-102-356 0,-5-22 0,74 268 0,-93-364 0,-15-50 0,-4-12 0,-14-93 0,-139-879-515,84-16-1,68 971 516,-1 6 0,1 1 0,0 0 0,1 0 0,1-1 0,1 1 0,8-29 0,-10 42 7,-1 1 0,1 0 0,0 0 0,0 0 0,1 0 0,-1 0 0,0 0 0,1 1 0,-1-1 0,1 0 0,-1 1 0,1-1 0,0 1 0,0-1 0,-1 1 0,1 0 0,0 0 0,0 0 0,1 0 0,-1 0 0,0 0 0,3 0 0,-1 0 21,0 1-1,0 0 0,0 1 0,0-1 1,0 0-1,-1 1 0,1 0 0,0 0 1,0 0-1,-1 1 0,1-1 0,4 3 1,1 1 29,0 1 0,0-1 1,-1 2-1,1-1 0,-1 1 0,-1 1 1,1-1-1,11 17 0,-13-14-57,-1 0 0,0 0 0,0 1 0,-1 0 0,0 0 0,-1 0 0,0 0 0,-1 1 0,0-1 0,-1 1 0,0 17 0,-2-12 0,-1 0 0,0 0 0,-2 0 0,0-1 0,0 0 0,-2 0 0,-8 18 0,-8 8 0,-1-2 0,-3 0 0,-1-2 0,-56 62 0,38-56 0,35-36 0,0 2 0,0-1 0,1 1 0,0 0 0,1 1 0,0 0 0,-10 19 0,18-29 0,-1 0 0,1 0 0,0-1 0,-1 1 0,1 0 0,0 0 0,0-1 0,0 1 0,0 0 0,-1 0 0,1-1 0,0 1 0,0 0 0,1 0 0,-1 0 0,0-1 0,0 1 0,0 0 0,0 0 0,1-1 0,-1 1 0,0 0 0,1 0 0,-1-1 0,0 1 0,1 0 0,-1-1 0,1 1 0,0 0 0,1 0 0,-1 0 0,1 0 0,-1-1 0,1 1 0,0 0 0,0-1 0,-1 1 0,1-1 0,0 0 0,0 0 0,-1 0 0,4 0 0,51-9 0,-14-5 0,-1-3 0,66-35 0,75-57 0,-149 88 0,-10 7 0,-1-1 0,-1 0 0,0-2 0,-1-1 0,28-31 0,-38 35 0,0 1 0,-1-1 0,0-1 0,-2 0 0,1 0 0,-2-1 0,0 1 0,-1-1 0,6-31 0,-10 43 0,0 1 0,1-1 0,-1 0 0,1 1 0,0-1 0,0 1 0,0 0 0,0 0 0,1 0 0,-1 0 0,1 0 0,0 0 0,0 0 0,3-1 0,-2 1 0,-1 0 0,1-1 0,-1 1 0,0 0 0,0-1 0,0 0 0,-1 0 0,1 1 0,-1-2 0,3-6 0,-3 5 0,0 1 0,-1-1 0,0 0 0,0 0 0,-1 0 0,1 0 0,-1 0 0,-1 1 0,1-1 0,-1 0 0,0 0 0,-3-8 0,4 12 0,-1 0 0,0 0 0,0 0 0,0 0 0,-1 0 0,1 0 0,0 1 0,-1-1 0,1 0 0,-1 1 0,1-1 0,-1 1 0,0 0 0,0-1 0,1 1 0,-1 0 0,0 0 0,0 0 0,0 1 0,0-1 0,-1 0 0,1 1 0,0-1 0,0 1 0,0 0 0,0-1 0,0 1 0,-1 0 0,1 0 0,0 1 0,0-1 0,0 0 0,0 1 0,-1-1 0,1 1 0,-3 1 0,-4 2 0,-1 0 0,1 0 0,0 1 0,1 0 0,-1 1 0,1 0 0,0 0 0,0 1 0,1 0 0,0 0 0,0 1 0,1 0 0,0 0 0,0 0 0,1 1 0,-5 9 0,-4 11 0,2 0 0,0 0 0,-14 59 0,26-87 0,-9 39 0,-6 43 0,14-73 0,0 0 0,1 0 0,0 0 0,0 0 0,1 0 0,0 0 0,1 0 0,0 0 0,0 0 0,6 11 0,-7-18 0,0 0 0,1-1 0,-1 0 0,1 1 0,0-1 0,-1 0 0,1 0 0,0 0 0,0 0 0,1 0 0,-1 0 0,0-1 0,1 1 0,-1-1 0,1 1 0,-1-1 0,1 0 0,-1 0 0,1 0 0,0 0 0,0-1 0,-1 1 0,1-1 0,0 0 0,0 0 0,0 0 0,0 0 0,0 0 0,-1 0 0,1-1 0,0 1 0,0-1 0,-1 0 0,1 0 0,4-2 0,5-2 0,0-1 0,-1 0 0,1-1 0,-2 0 0,1-1 0,16-15 0,13-17 0,-3-2 0,-2-1 0,-1-2 0,32-57 0,-16 15 0,55-138 0,-88 182 0,-1 0 0,-3-1 0,-1-1 0,-3-1 0,-1 1 0,-2-1 0,-3 0 0,-1 0 0,-3-1 0,-1 1 0,-3 0 0,-1 0 0,-3 1 0,-14-47 0,-21-39 0,-75-157 0,-85-110 0,187 365 0,5 8 0,-2 0 0,0 1 0,-1 1 0,-2 0 0,-25-27 0,41 49 0,0 0 0,0-1 0,0 1 0,0 0 0,0 0 0,-1 0 0,1 0 0,0 0 0,-1 0 0,1 0 0,-1 1 0,1-1 0,-1 0 0,1 1 0,-1 0 0,1-1 0,-1 1 0,1 0 0,-1-1 0,0 1 0,1 0 0,-1 0 0,0 0 0,1 1 0,-1-1 0,1 0 0,-1 1 0,0-1 0,1 1 0,-1-1 0,1 1 0,-3 1 0,1 1 0,0 1 0,0-1 0,0 1 0,1 0 0,-1 0 0,1 0 0,0 0 0,0 0 0,1 0 0,-1 1 0,-1 5 0,-4 29 0,1 0 0,1 1 0,3 0 0,1 0 0,8 76 0,7 31-113,6 0 0,7-2-1,53 168 1,-40-190 48,5-2-1,6-2 1,129 220 0,-136-269 65,61 72 0,-87-120 0,1-1 0,1-1 0,0-1 0,2-1 0,0-1 0,48 28 0,-61-40 20,0-1-1,0 0 1,1-1-1,-1 1 1,1-2 0,-1 1-1,21 1 1,-26-4 7,1 0-1,-1 0 1,0-1-1,0 1 1,1-1-1,-1 0 1,0 0-1,0 0 1,0-1-1,0 0 1,0 1-1,0-1 1,-1-1 0,1 1-1,-1 0 1,1-1-1,-1 0 1,0 0-1,0 0 1,4-5-1,5-11-26,-1-1 0,-1 0 0,-1 0 0,-1-1 0,0 0 0,-2-1 0,6-34 0,7-17 0,21-49 0,-19 65 0,22-105 0,-42 160 0,-1 0 0,1 0 0,-1 0 0,0 0 0,0 0 0,0 1 0,0-1 0,0 0 0,0 0 0,0 0 0,0 0 0,-1 0 0,1 0 0,-1 0 0,0 1 0,1-1 0,-1 0 0,0 0 0,0 1 0,0-1 0,0 1 0,0-1 0,-1 1 0,1-1 0,-3-2 0,1 3 0,0 0 0,0-1 0,0 1 0,-1 0 0,1 0 0,0 1 0,0-1 0,-1 1 0,1 0 0,0 0 0,-1 0 0,1 0 0,-6 1 0,-7 2 0,-1 1 0,1 0 0,0 2 0,-29 12 0,33-11 0,0 1 0,0 1 0,0 0 0,1 0 0,1 1 0,0 0 0,0 1 0,1 0 0,0 1 0,1 0 0,0 0 0,1 0 0,1 1 0,0 0 0,0 1 0,1-1 0,1 1 0,1 0 0,0 0 0,0 1 0,1-1 0,1 0 0,1 1 0,0-1 0,1 1 0,4 26 0,-4-38 0,-1-1 0,1 1 0,0 0 0,0 0 0,0 0 0,0-1 0,0 1 0,1-1 0,-1 1 0,1-1 0,-1 1 0,1-1 0,0 0 0,0 0 0,0 0 0,0 0 0,1 0 0,-1 0 0,5 2 0,-4-3 0,0-1 0,-1 1 0,1-1 0,0 1 0,0-1 0,-1 0 0,1 0 0,0-1 0,0 1 0,-1 0 0,1-1 0,0 0 0,0 1 0,-1-1 0,1 0 0,4-3 0,4-2 0,-1-1 0,1 0 0,-1-1 0,-1 0 0,1-1 0,-2 1 0,14-18 0,2-10 0,-1-1 0,20-44 0,-4 7 0,-39 73 0,1-1 0,-1 1 0,1 0 0,-1 0 0,1 0 0,0 0 0,-1 0 0,1 0 0,0 0 0,0 0 0,-1 1 0,1-1 0,0 0 0,0 0 0,0 1 0,0-1 0,0 0 0,0 1 0,0-1 0,1 1 0,-1 0 0,0-1 0,0 1 0,0 0 0,0 0 0,1-1 0,1 1 0,0 1 0,0 0 0,-1 1 0,1-1 0,-1 0 0,1 1 0,-1 0 0,0-1 0,1 1 0,-1 0 0,0 0 0,3 4 0,23 27 0,-2 2 0,-1 1 0,26 49 0,10 15 0,-43-71 0,119 170 0,-108-161 0,2 0 0,68 62 0,-96-97 0,0 0 0,0 0 0,0-1 0,1 1 0,-1-1 0,0 0 0,1 0 0,0 0 0,-1 0 0,1-1 0,0 1 0,0-1 0,0 0 0,0 0 0,0 0 0,0-1 0,0 0 0,0 1 0,7-2 0,-7-1 0,0 0 0,0 0 0,-1 0 0,1 0 0,-1-1 0,0 1 0,1-1 0,-1 0 0,0 0 0,0-1 0,-1 1 0,1 0 0,-1-1 0,0 0 0,0 1 0,0-1 0,0 0 0,-1 0 0,1 0 0,0-4 0,11-33 0,-1 1 0,-2-1 0,6-60 0,1-136 0,-15 193 0,16-417 0,31-422 0,-40 809 0,-5 66 0,-1 20 0,13 259 0,-10-119 0,-4-112 0,56 692 0,-56-710 0,11 57 0,-12-74 0,1 0 0,-1 0 0,1 0 0,0-1 0,0 1 0,1 0 0,-1-1 0,1 1 0,0-1 0,0 0 0,4 5 0,-6-9 0,0 1 0,0 0 0,0 0 0,0-1 0,0 1 0,0-1 0,0 1 0,0-1 0,0 1 0,1-1 0,-1 1 0,0-1 0,0 0 0,0 0 0,1 0 0,-1 1 0,0-1 0,0 0 0,0-1 0,1 1 0,-1 0 0,0 0 0,0 0 0,0-1 0,0 1 0,1-1 0,-1 1 0,0-1 0,0 1 0,0-1 0,0 0 0,0 1 0,1-2 0,26-32 0,-15 11 0,-2-1 0,-1 0 0,-1-1 0,-1 0 0,-1 0 0,-1-1 0,-2 0 0,0 0 0,-2-1 0,0 1 0,-4-40 0,1 61 0,0-1 0,0 1 0,0 0 0,0 0 0,-1 0 0,1 0 0,-1 1 0,-1-1 0,1 0 0,-1 1 0,1 0 0,-1-1 0,0 1 0,-1 0 0,1 1 0,-1-1 0,0 0 0,0 1 0,0 0 0,0 0 0,0 0 0,-1 1 0,0-1 0,1 1 0,-1 0 0,0 0 0,-8-1 0,-10-2 0,0 1 0,-1 2 0,1 0 0,-42 2 0,39 1 0,3-2 0,-40 3 0,59-2 0,1 0 0,-1 1 0,1-1 0,0 1 0,0 0 0,-1 0 0,1 0 0,0 0 0,0 1 0,0-1 0,0 1 0,0 0 0,1 0 0,-4 2 0,6-4 0,0 1 0,-1-1 0,1 0 0,0 0 0,0 1 0,0-1 0,-1 0 0,1 1 0,0-1 0,0 0 0,0 1 0,0-1 0,-1 0 0,1 1 0,0-1 0,0 0 0,0 1 0,0-1 0,0 1 0,0-1 0,0 0 0,0 1 0,0-1 0,0 0 0,0 1 0,0-1 0,1 0 0,-1 1 0,0-1 0,0 0 0,0 1 0,0-1 0,1 0 0,-1 1 0,0-1 0,0 0 0,1 1 0,-1-1 0,0 0 0,1 1 0,19 8 0,24-2 0,-22-7 0,0-1 0,-1-1 0,1-1 0,-1 0 0,0-2 0,25-8 0,118-55 0,-131 53 0,-32 14 0,1 0 0,-1 0 0,1 0 0,-1 0 0,1 1 0,0-1 0,-1 1 0,1-1 0,0 1 0,-1-1 0,1 1 0,0 0 0,0 0 0,0 0 0,-1 0 0,1 0 0,0 0 0,0 0 0,-1 1 0,1-1 0,0 0 0,0 1 0,-1 0 0,1-1 0,0 1 0,-1 0 0,1 0 0,-1 0 0,1 0 0,1 2 0,0 2 0,0 0 0,-1-1 0,0 1 0,0 1 0,0-1 0,-1 0 0,0 0 0,1 8 0,12 35 0,-10-42 0,0 1 0,0-1 0,1 0 0,-1-1 0,1 1 0,0-1 0,1 0 0,-1 0 0,1-1 0,0 0 0,0 0 0,12 6 0,-6-5 0,0 0 0,1-1 0,0-1 0,0 0 0,0 0 0,20 0 0,11-2 0,1-2 0,-1-2 0,51-11 0,-76 11 0,67-9 0,-1-4 0,0-3 0,85-33 0,-163 49 0,1 0 0,-1 0 0,1-1 0,-1-1 0,0 1 0,7-7 0,-13 10 0,0 0 0,0 0 0,0 0 0,0 1 0,-1-1 0,1 0 0,0-1 0,-1 1 0,1 0 0,0 0 0,-1 0 0,0 0 0,1 0 0,-1-1 0,0 1 0,1 0 0,-1 0 0,0 0 0,0-1 0,0 1 0,0 0 0,0 0 0,0-1 0,-1 1 0,1 0 0,0 0 0,-1 0 0,1-1 0,0 1 0,-1 0 0,0 0 0,1 0 0,-1 0 0,0 0 0,1 0 0,-1 0 0,0 0 0,0 0 0,0 0 0,0 0 0,0 1 0,0-1 0,0 0 0,0 1 0,0-1 0,-2 0 0,-10-6 0,0 0 0,-1 1 0,0 0 0,0 1 0,-1 0 0,1 2 0,-24-4 0,-4-2 0,38 8 0,1 0 0,-1 0 0,0 1 0,0-1 0,0 1 0,0 0 0,1 0 0,-1 0 0,0 0 0,0 1 0,0-1 0,0 1 0,1 0 0,-1 0 0,0 1 0,1-1 0,-1 1 0,-4 2 0,4 0 0,1-1 0,-1 1 0,1 0 0,0 0 0,0 0 0,0 0 0,1 0 0,-1 1 0,1-1 0,0 1 0,0 0 0,1 0 0,-2 8 0,-2 6 0,1-1 0,1 1 0,1 0 0,0 0 0,2 0 0,0 0 0,1 0 0,1-1 0,8 38 0,-8-49 0,0 0 0,1 1 0,0-1 0,0 0 0,1 0 0,0-1 0,0 1 0,0-1 0,1 0 0,0 0 0,0 0 0,1-1 0,0 0 0,-1 0 0,2 0 0,-1-1 0,0 1 0,1-2 0,0 1 0,0-1 0,0 0 0,0 0 0,1-1 0,-1 0 0,1 0 0,-1-1 0,9 1 0,-6-1 0,0-1 0,1 1 0,-1-2 0,0 1 0,1-2 0,-1 1 0,0-1 0,0-1 0,0 0 0,-1 0 0,1-1 0,-1 0 0,1 0 0,-1-1 0,-1-1 0,1 0 0,-1 0 0,0 0 0,9-10 0,-8 6 0,0-2 0,0 1 0,-1-1 0,0-1 0,-1 1 0,-1-1 0,0-1 0,-1 1 0,0-1 0,-1 0 0,-1 0 0,0 0 0,1-19 0,1-17 0,-3-1 0,-1 1 0,-11-81 0,9 157 0,0-22 0,0 0 0,1 0 0,-1 0 0,1 0 0,0 0 0,0-1 0,1 1 0,-1 0 0,1 0 0,2 6 0,-3-10 0,0 1 0,0-1 0,0 0 0,1 0 0,-1 1 0,0-1 0,0 0 0,0 0 0,1 1 0,-1-1 0,0 0 0,1 0 0,-1 0 0,0 0 0,0 1 0,1-1 0,-1 0 0,0 0 0,1 0 0,-1 0 0,0 0 0,1 0 0,-1 0 0,0 0 0,1 0 0,-1 0 0,0 0 0,1 0 0,-1 0 0,0 0 0,0 0 0,1 0 0,-1 0 0,0 0 0,1-1 0,-1 1 0,0 0 0,0 0 0,1 0 0,-1 0 0,0-1 0,1 1 0,-1 0 0,0 0 0,0-1 0,0 1 0,1 0 0,-1 0 0,0-1 0,0 1 0,0 0 0,0-1 0,0 1 0,1 0 0,-1 0 0,0-1 0,11-20 0,-2-3 0,-2 0 0,0 0 0,-2 0 0,0-1 0,1-36 0,-5-134 0,-53-482 0,29 446 0,22 220 0,-100-744 0,98 740 0,1 2 0,0 0 0,-1 0 0,-1 0 0,0 0 0,-1 1 0,0 0 0,-1-1 0,0 2 0,-12-18 0,18 28 0,-1 1 0,0-1 0,1 0 0,-1 0 0,0 0 0,0 1 0,0-1 0,1 1 0,-1-1 0,0 0 0,0 1 0,0 0 0,0-1 0,0 1 0,0-1 0,0 1 0,0 0 0,0 0 0,0 0 0,0-1 0,0 1 0,0 0 0,0 0 0,0 0 0,0 1 0,0-1 0,0 0 0,0 0 0,0 1 0,0-1 0,0 0 0,0 1 0,0-1 0,0 1 0,0-1 0,0 1 0,0 0 0,0-1 0,1 1 0,-1 0 0,-1 0 0,-1 4 0,-1 0 0,1 0 0,0 0 0,0 0 0,0 0 0,-3 11 0,-4 17 0,1 0 0,2 0 0,1 0 0,1 1 0,0 47 0,17 174 0,-1-150 0,5-1 0,5-1 0,4-1 0,5-1 0,4-2 0,4-1 0,4-2 0,5-1 0,4-3 0,3-3 0,5-1 0,3-4 0,4-2 0,4-3 0,2-3 0,98 78 0,-85-88 0,2-3 0,3-4 0,100 47 0,-181-101 0,-7-4 0,1 0 0,0 0 0,-1 0 0,1 1 0,-1-1 0,0 1 0,1-1 0,-1 1 0,3 3 0,-7 5 0,-17 4 0,-43 12 0,-128 38 0,45-19 0,-92 42 0,5 10 0,4 10 0,-214 138 0,402-216 0,44-26 0,10-6 0,94-37 0,94-49 0,90-45-352,111-50-1058,129-51 409,339-132-1968,1193-456 2699,-2057 820 264,88-33 6,213-94 0,-303 128-5,0 0-1,-1-1 0,1 1 1,-1-1-1,1 0 0,-1 0 1,4-5-1,-8 8 11,0 0 0,0-1 0,0 1 0,0 0 0,1 0 0,-1-1 0,0 1 0,0 0 0,0-1 0,0 1 0,0 0 0,0-1 0,0 1 0,0 0 0,0 0 0,0-1 0,0 1 0,0 0-1,0-1 1,0 1 0,-1 0 0,1 0 0,0-1 0,0 1 0,0 0 0,0-1 0,0 1 0,-1 0 0,1 0 0,0-1 0,0 1 0,-1 0 0,1 0 0,0 0 0,0 0 0,-1-1 0,1 1 0,0 0 0,0 0 0,-1 0 0,1 0 0,0 0 0,-1 0 0,1-1 0,0 1 0,0 0 0,-1 0 0,1 0 0,0 0 0,-1 0 0,1 0 0,0 0-1,-1 1 1,1-1 0,-71 2 1099,68-2-1047,-242 28 3197,185-21-10080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7T11:19:21.62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81 1266 24575,'-1'0'0,"1"0"0,-1 0 0,1 0 0,0 1 0,-1-1 0,1 0 0,-1 0 0,1 0 0,0 1 0,-1-1 0,1 0 0,0 1 0,-1-1 0,1 0 0,0 1 0,0-1 0,-1 0 0,1 1 0,0-1 0,0 1 0,0-1 0,0 0 0,-1 1 0,1-1 0,0 1 0,0-1 0,0 1 0,0-1 0,0 1 0,-2 4 0,-6 24 0,0 1 0,-5 45 0,-8 83-265,7 2 1,7 0-1,7 0 0,35 275 0,-25-373 265,2-1 0,3 0 0,2-1 0,39 88 0,-47-129 0,1 0 0,0-1 0,2-1 0,0 0 0,1 0 0,1-1 0,0-1 0,22 19 0,-23-24 0,1-1 0,1 0 0,-1 0 0,1-1 0,1-1 0,-1-1 0,1 0 0,0-1 0,1-1 0,27 4 0,-11-5-9,0-1 0,0-2 0,-1-1 0,1-2 0,0-1 0,-1-1 0,34-11 0,-10-2-160,0-1 0,-1-4 0,59-32 0,-45 16 131,-2-3 1,-2-3 0,-1-3-1,63-63 1,-60 44 46,-2-3 0,-4-2 1,59-90-1,-84 106 201,-2-1 1,35-85-1,-55 108-105,-1-1 0,-2 0 1,-1-1-1,-2 0 0,5-61 0,-12 87-105,0 0 0,-1 0 0,0 0 0,-1 0 0,0 0 0,0 0 0,-1 0 0,0 1 0,-8-19 0,10 27-1,0 0 0,-1 0-1,1 0 1,0 0 0,-1 0 0,1 1-1,-1-1 1,1 0 0,-1 0 0,1 1-1,-1-1 1,0 0 0,1 1 0,-1-1-1,0 0 1,0 1 0,0-1 0,1 1-1,-1-1 1,0 1 0,0 0 0,0-1-1,0 1 1,0 0 0,0 0 0,1 0-1,-1-1 1,0 1 0,0 0 0,0 0-1,-1 1 1,-1 0 15,1 0 1,0 0-1,0 1 0,0-1 1,1 1-1,-1-1 0,0 1 0,0 0 1,1 0-1,-1-1 0,1 1 1,0 0-1,-2 3 0,-11 22 146,1 1 0,2 0 0,1 1 0,-10 43 0,-8 41-306,-26 224-1,48-257 74,3-1-1,4 1 1,19 138 0,-13-176 73,2-2 0,2 1 0,29 70 0,-31-92 0,0 0 0,1 0 0,2-1 0,-1 0 0,2-1 0,1 0 0,0-1 0,1-1 0,18 15 0,-27-24-3,1-1 1,1 0-1,-1-1 1,0 0 0,1 0-1,0-1 1,0 1-1,0-2 1,12 4-1,-16-6 8,-1 0-1,0 1 1,0-1-1,1 0 1,-1 0-1,0-1 1,0 1 0,1-1-1,-1 1 1,0-1-1,0 0 1,0 0-1,0-1 1,0 1-1,0-1 1,0 1-1,0-1 1,0 0-1,-1 0 1,1 0-1,-1 0 1,0-1-1,1 1 1,-1-1-1,0 1 1,2-5 0,4-7 53,-1-1 1,-1 1 0,-1-1 0,0 0 0,0 0 0,-2 0 0,0-1 0,1-15 0,1-129-101,-7 109 42,0 23 0,3-40 0,-1 68 0,-1-1 0,1 1 0,0-1 0,0 1 0,0-1 0,0 1 0,0 0 0,0-1 0,0 1 0,1-1 0,-1 1 0,0-1 0,0 1 0,0 0 0,0-1 0,0 1 0,1-1 0,-1 1 0,0 0 0,0-1 0,1 1 0,-1 0 0,0-1 0,1 1 0,-1 0 0,0-1 0,1 1 0,0-1 0,8 10 0,7 28 0,91 348 0,-75-258 0,-4-16 0,54 194 0,-67-264 0,-12-37 0,-1-8 0,-12-68 0,-101-640-515,62-10-1,49 704 516,-1 7 0,1-1 0,0 0 0,1 0 0,0 0 0,1 1 0,6-22 0,-7 31 7,-1 0 0,1 1 0,0-1 0,0 1 0,0-1 0,-1 1 0,1 0 0,0-1 0,0 1 0,1 0 0,-1 0 0,0 0 0,0 0 0,1 0 0,-1 0 0,0 0 0,1 0 0,-1 0 0,1 1 0,-1-1 0,1 0 0,2 0 0,-1 1 21,0 0-1,-1 0 0,1 0 0,0 1 1,0-1-1,0 0 0,-1 1 0,1 0 1,0 0-1,0 0 0,-1 0 0,4 2 1,1 0 29,-1 1 0,1 1 1,-1-1-1,0 1 0,0 0 0,-1 0 1,1 1-1,7 11 0,-8-10-57,-1 1 0,0-1 0,-1 1 0,0 0 0,0 0 0,-1 0 0,0 0 0,0 0 0,-1 1 0,0-1 0,0 14 0,-2-10 0,-1 0 0,1 1 0,-2-1 0,0 0 0,0-1 0,-1 1 0,-6 13 0,-6 5 0,-1-1 0,-2 0 0,-1-1 0,-40 44 0,27-39 0,26-27 0,0 0 0,0 1 0,0 1 0,1-1 0,-1 1 0,2 0 0,-8 14 0,12-21 0,1-1 0,0 1 0,0-1 0,-1 1 0,1-1 0,0 1 0,0-1 0,0 1 0,0-1 0,0 1 0,0 0 0,0-1 0,0 1 0,0-1 0,0 1 0,0-1 0,0 1 0,0 0 0,0-1 0,0 1 0,1-1 0,-1 1 0,0-1 0,0 1 0,1-1 0,-1 1 0,0-1 0,1 1 0,0 0 0,0-1 0,0 1 0,0-1 0,0 1 0,1-1 0,-1 1 0,0-1 0,0 0 0,1 1 0,-1-1 0,0 0 0,1 0 0,1 0 0,38-7 0,-11-3 0,0-2 0,48-26 0,54-41 0,-108 64 0,-7 5 0,-1-1 0,0-1 0,-1 0 0,-1-1 0,21-23 0,-28 26 0,0 0 0,0 0 0,-1 0 0,0-1 0,-1 0 0,0-1 0,-1 1 0,0-1 0,4-22 0,-7 32 0,0-1 0,0 0 0,0 1 0,0-1 0,0 1 0,1-1 0,-1 1 0,1 0 0,0-1 0,0 1 0,0 0 0,0 0 0,0 0 0,2-1 0,-1 1 0,0-1 0,-1 1 0,0 0 0,1-1 0,-1 0 0,0 1 0,0-1 0,0 0 0,-1 0 0,3-5 0,-3 4 0,0 0 0,0-1 0,0 1 0,0 0 0,-1 0 0,0-1 0,0 1 0,0 0 0,0-1 0,-1 1 0,0 0 0,-1-6 0,1 8 0,0 1 0,1-1 0,-1 1 0,0-1 0,0 1 0,0 0 0,0 0 0,0-1 0,0 1 0,0 0 0,0 0 0,0 0 0,-1 0 0,1 0 0,0 0 0,-1 0 0,1 1 0,0-1 0,-1 1 0,1-1 0,-1 1 0,1-1 0,-1 1 0,0 0 0,1-1 0,-1 1 0,1 0 0,-1 0 0,0 0 0,1 0 0,-1 1 0,1-1 0,-1 0 0,1 1 0,-1-1 0,-2 2 0,-2 0 0,-1 1 0,0 1 0,1-1 0,-1 1 0,1 0 0,0 0 0,0 1 0,1 0 0,-1 0 0,1 0 0,0 1 0,1-1 0,-1 1 0,1 1 0,0-1 0,-3 7 0,-3 8 0,1 0 0,1 0 0,-11 43 0,19-63 0,-7 28 0,-3 32 0,9-54 0,0 0 0,1 0 0,-1 1 0,2-1 0,-1 0 0,1 0 0,1 1 0,-1-1 0,1 0 0,3 9 0,-4-14 0,0-1 0,0 1 0,0 0 0,0 0 0,1-1 0,-1 1 0,0-1 0,1 1 0,-1-1 0,1 1 0,0-1 0,-1 0 0,1 0 0,0 0 0,0 0 0,0 0 0,-1 0 0,1 0 0,0-1 0,0 1 0,0-1 0,0 1 0,0-1 0,1 0 0,-1 0 0,0 0 0,0 0 0,0 0 0,0 0 0,0-1 0,0 1 0,0-1 0,0 1 0,0-1 0,3-1 0,4-2 0,-1 0 0,1-1 0,-1 0 0,0 0 0,-1-1 0,13-11 0,9-12 0,-2-1 0,-1-1 0,-2-2 0,24-41 0,-12 10 0,41-99 0,-64 132 0,-2-1 0,-1 0 0,-2-1 0,-1 0 0,-2 0 0,0 0 0,-3-1 0,-1 1 0,-1-1 0,-2 0 0,-1 1 0,-2 0 0,-1-1 0,-11-32 0,-15-30 0,-54-113 0,-63-81 0,137 266 0,3 6 0,-1 0 0,0 1 0,-2 0 0,0 0 0,-18-19 0,29 35 0,1 0 0,-1 0 0,0 0 0,0 1 0,0-1 0,0 0 0,0 0 0,0 1 0,0-1 0,0 0 0,0 1 0,0-1 0,0 1 0,0 0 0,0-1 0,0 1 0,-1 0 0,1 0 0,0 0 0,0-1 0,0 1 0,0 0 0,-1 1 0,1-1 0,0 0 0,0 0 0,0 0 0,0 1 0,-1-1 0,1 0 0,0 1 0,-2 1 0,1 0 0,0 0 0,0 1 0,0 0 0,0 0 0,0-1 0,1 1 0,-1 0 0,1 0 0,0 0 0,0 1 0,-1 3 0,-4 21 0,2 1 0,0 0 0,2 0 0,2 0 0,5 55 0,5 23-113,5 0 0,4-1-1,40 122 1,-30-139 48,4-1-1,3-2 1,95 161 0,-99-196 65,45 53 0,-64-89 0,1 0 0,0 0 0,1-1 0,1-1 0,0-1 0,35 21 0,-45-30 20,1 1-1,0-2 1,-1 1-1,1-1 1,0 0 0,0 0-1,15 1 1,-19-3 7,0 0-1,0 0 1,0 0-1,0-1 1,1 1-1,-1-1 1,0 0-1,0 0 1,-1 0-1,1 0 1,0 0-1,0-1 1,0 1 0,-1-1-1,1 0 1,-1 0-1,1 0 1,-1 0-1,0 0 1,3-4-1,4-8-26,-1 0 0,-1-1 0,0 0 0,-1 0 0,-1 0 0,0-1 0,4-25 0,4-12 0,16-36 0,-14 48 0,17-77 0,-32 116 0,1 1 0,-1 0 0,0-1 0,0 1 0,0 0 0,1-1 0,-1 1 0,-1-1 0,1 1 0,0 0 0,0-1 0,0 1 0,-1 0 0,1-1 0,-1 1 0,1 0 0,-1-1 0,1 1 0,-1 0 0,0 0 0,0 0 0,0-1 0,1 1 0,-1 0 0,-2-1 0,0 1 0,1 0 0,0 0 0,0 0 0,-1 0 0,1 1 0,0-1 0,-1 1 0,1-1 0,-1 1 0,1 0 0,-1 0 0,1 0 0,-4 1 0,-6 1 0,0 1 0,0 0 0,0 1 0,-20 10 0,22-9 0,2 1 0,-1 0 0,1 0 0,0 1 0,0 0 0,1 1 0,0 0 0,0 0 0,1 0 0,0 1 0,0 0 0,1 0 0,0 0 0,1 1 0,0 0 0,1 0 0,-1 0 0,2 0 0,0 0 0,0 0 0,1 1 0,0-1 0,0 1 0,2-1 0,-1 1 0,4 19 0,-3-28 0,-1 0 0,0 0 0,1 0 0,0 0 0,-1 0 0,1 0 0,0 0 0,0 0 0,0-1 0,0 1 0,1 0 0,-1-1 0,0 1 0,1 0 0,-1-1 0,1 0 0,0 1 0,-1-1 0,5 2 0,-5-2 0,1-1 0,0 1 0,0-1 0,0 0 0,0 0 0,1 0 0,-1 0 0,0 0 0,0 0 0,0-1 0,0 1 0,-1 0 0,1-1 0,0 0 0,0 1 0,3-3 0,3-2 0,0 0 0,-1 0 0,1 0 0,-1-1 0,0-1 0,-1 1 0,10-13 0,1-7 0,0-1 0,14-31 0,-3 3 0,-27 55 0,-1-1 0,0 0 0,1 0 0,-1 0 0,1 1 0,-1-1 0,1 0 0,-1 0 0,1 1 0,-1-1 0,1 1 0,0-1 0,-1 0 0,1 1 0,0-1 0,-1 1 0,1 0 0,0-1 0,0 1 0,0-1 0,-1 1 0,1 0 0,0 0 0,0 0 0,0-1 0,0 1 0,1 0 0,0 1 0,0 0 0,0 0 0,0 0 0,0 0 0,0 0 0,-1 0 0,1 0 0,0 1 0,-1-1 0,1 1 0,1 2 0,17 20 0,0 1 0,-2 1 0,19 36 0,7 11 0,-30-52 0,85 124 0,-78-117 0,2-1 0,49 46 0,-70-71 0,0 0 0,0 0 0,1 0 0,-1 0 0,0 0 0,1-1 0,0 1 0,-1-1 0,1 0 0,0 0 0,0 0 0,-1 0 0,1 0 0,0 0 0,0-1 0,0 0 0,0 1 0,0-1 0,5-1 0,-5 0 0,0 0 0,-1-1 0,1 1 0,0-1 0,-1 0 0,0 0 0,1 0 0,-1 0 0,0 0 0,0-1 0,0 1 0,0-1 0,0 1 0,-1-1 0,1 0 0,-1 1 0,0-1 0,0 0 0,0 0 0,1-3 0,8-23 0,-2-1 0,-1 0 0,5-43 0,1-100 0,-12 141 0,12-303 0,22-307 0,-27 588 0,-6 48 0,0 15 0,10 188 0,-8-86 0,-2-82 0,40 503 0,-40-516 0,7 41 0,-8-53 0,0 0 0,0-1 0,0 1 0,1 0 0,-1-1 0,1 0 0,0 1 0,0-1 0,0 0 0,0 0 0,4 3 0,-6-5 0,1-1 0,0 1 0,-1-1 0,1 1 0,0-1 0,0 1 0,-1-1 0,1 0 0,0 1 0,0-1 0,0 0 0,0 0 0,-1 1 0,1-1 0,0 0 0,0 0 0,0 0 0,0 0 0,0 0 0,0 0 0,-1 0 0,1-1 0,0 1 0,0 0 0,0 0 0,0-1 0,0 1 0,-1 0 0,1-1 0,0 1 0,0-1 0,-1 1 0,2-2 0,18-22 0,-11 7 0,0 0 0,-2-1 0,0 0 0,-2 0 0,0-1 0,0 0 0,-2 1 0,0-1 0,-2-1 0,0 1 0,-2-29 0,0 44 0,1 0 0,-1 1 0,0-1 0,0 0 0,0 1 0,0-1 0,-1 1 0,1 0 0,-1-1 0,0 1 0,0 0 0,0 0 0,0 0 0,-1 0 0,1 0 0,-1 0 0,0 1 0,0 0 0,0-1 0,0 1 0,0 0 0,0 0 0,0 0 0,-1 1 0,1-1 0,-1 1 0,-5-1 0,-8-2 0,0 1 0,0 1 0,0 1 0,-30 1 0,28 1 0,2-1 0,-29 0 0,43 1 0,1-1 0,0 0 0,-1 1 0,1-1 0,-1 1 0,1-1 0,0 1 0,0 0 0,-1 0 0,1 0 0,0 1 0,0-1 0,0 0 0,-2 3 0,4-4 0,0 0 0,-1 0 0,1 0 0,0 1 0,0-1 0,0 0 0,0 0 0,0 0 0,-1 1 0,1-1 0,0 0 0,0 0 0,0 1 0,0-1 0,0 0 0,0 0 0,0 1 0,0-1 0,0 0 0,0 1 0,0-1 0,0 0 0,0 0 0,0 1 0,0-1 0,0 0 0,0 0 0,0 1 0,0-1 0,0 0 0,1 0 0,-1 1 0,0-1 0,0 0 0,0 0 0,0 0 0,1 1 0,-1-1 0,0 0 0,0 0 0,15 7 0,17-2 0,-16-5 0,0 0 0,0-2 0,-1 0 0,1 0 0,-1-2 0,18-5 0,86-41 0,-95 39 0,-22 11 0,-1-1 0,0 0 0,0 1 0,0-1 0,0 0 0,0 1 0,1 0 0,-1-1 0,0 1 0,0 0 0,1-1 0,-1 1 0,0 0 0,1 0 0,-1 0 0,0 0 0,1 0 0,-1 1 0,0-1 0,0 0 0,1 1 0,-1-1 0,0 0 0,0 1 0,0-1 0,1 1 0,-1 0 0,0-1 0,0 1 0,1 2 0,0 0 0,0 0 0,0 1 0,0 0 0,-1-1 0,0 1 0,0 0 0,0 0 0,1 5 0,8 26 0,-8-30 0,1-1 0,0 1 0,1-1 0,-1 0 0,1 0 0,-1 0 0,1-1 0,0 1 0,1-1 0,-1 0 0,1 0 0,7 4 0,-3-3 0,0-1 0,0 0 0,1 0 0,-1-1 0,1 0 0,13 0 0,10-1 0,-1-2 0,1-2 0,36-6 0,-56 7 0,50-7 0,-1-3 0,-1-2 0,63-23 0,-119 35 0,1-1 0,-1 1 0,1-1 0,-1 0 0,0-1 0,5-4 0,-9 8 0,0-1 0,-1 0 0,1 1 0,0-1 0,-1 0 0,1 1 0,-1-1 0,1 0 0,-1 0 0,0 1 0,1-1 0,-1 0 0,0 0 0,1 0 0,-1 0 0,0 0 0,0 0 0,0 1 0,0-1 0,0 0 0,0 0 0,0 0 0,0 0 0,0 0 0,0 0 0,-1 0 0,1 1 0,0-1 0,-1 0 0,1 0 0,0 0 0,-1 0 0,1 1 0,-1-1 0,1 0 0,-1 1 0,0-1 0,1 0 0,-1 1 0,0-1 0,1 0 0,-1 1 0,0-1 0,0 1 0,1 0 0,-2-1 0,-8-5 0,0 1 0,0 1 0,0 0 0,0 0 0,-1 1 0,1 0 0,-18-2 0,-2-1 0,27 5 0,0 0 0,1 1 0,-1-1 0,0 1 0,0 0 0,0-1 0,1 1 0,-1 1 0,0-1 0,0 0 0,0 1 0,1-1 0,-1 1 0,0 0 0,1 0 0,-1 0 0,0 0 0,-2 2 0,2 0 0,0-1 0,1 1 0,-1 0 0,1 0 0,0 0 0,0 0 0,0 0 0,0 0 0,1 1 0,-1-1 0,1 1 0,0-1 0,-2 7 0,0 3 0,0 1 0,1-1 0,0 1 0,1 0 0,1 0 0,0-1 0,1 1 0,0 0 0,7 26 0,-7-34 0,1-1 0,0 0 0,0 0 0,0 0 0,1 0 0,0 0 0,0 0 0,0 0 0,0-1 0,1 0 0,0 0 0,0 0 0,0 0 0,0 0 0,1-1 0,-1 0 0,1 0 0,0 0 0,0 0 0,0-1 0,0 0 0,1 0 0,-1 0 0,0-1 0,1 0 0,-1 0 0,7 1 0,-5-2 0,1 1 0,-1-1 0,1 0 0,-1-1 0,0 0 0,1 0 0,-1 0 0,0-1 0,1 0 0,-1-1 0,0 1 0,-1-1 0,1-1 0,0 1 0,-1-1 0,0 0 0,0-1 0,0 1 0,6-8 0,-5 4 0,0 0 0,-1 0 0,0-1 0,-1 0 0,1 0 0,-2-1 0,0 1 0,0-1 0,0 0 0,-1 0 0,-1-1 0,0 1 0,1-14 0,1-12 0,-3-1 0,0 0 0,-8-58 0,6 114 0,0-16 0,0 0 0,1 0 0,0-1 0,0 1 0,0 0 0,0 0 0,0 0 0,1 0 0,-1-1 0,2 6 0,-2-8 0,0 0 0,0 0 0,1 0 0,-1 1 0,0-1 0,0 0 0,0 0 0,0 0 0,1 0 0,-1 1 0,0-1 0,0 0 0,0 0 0,1 0 0,-1 0 0,0 0 0,0 0 0,0 0 0,1 1 0,-1-1 0,0 0 0,0 0 0,1 0 0,-1 0 0,0 0 0,0 0 0,0 0 0,1 0 0,-1 0 0,0 0 0,0-1 0,1 1 0,-1 0 0,0 0 0,0 0 0,0 0 0,1 0 0,-1 0 0,0 0 0,0 0 0,0-1 0,1 1 0,-1 0 0,0 0 0,0 0 0,0-1 0,0 1 0,1 0 0,-1 0 0,0 0 0,0-1 0,0 1 0,0 0 0,0 0 0,0 0 0,0-1 0,9-14 0,-3-2 0,-1-1 0,0 1 0,-1-1 0,-1 0 0,2-26 0,-4-99 0,-40-349 0,23 325 0,15 159 0,-72-542 0,71 540 0,0 0 0,1 0 0,-2 1 0,1 0 0,-1-1 0,-1 1 0,1 0 0,-2 0 0,1 1 0,-9-13 0,12 21 0,1-1 0,-1 0 0,1 1 0,-1-1 0,1 1 0,-1-1 0,1 1 0,-1-1 0,0 1 0,1 0 0,-1-1 0,0 1 0,1 0 0,-1-1 0,0 1 0,0 0 0,1 0 0,-1 0 0,0-1 0,0 1 0,1 0 0,-1 0 0,0 0 0,0 0 0,1 0 0,-1 1 0,0-1 0,0 0 0,1 0 0,-1 0 0,0 1 0,1-1 0,-1 0 0,0 1 0,1-1 0,-1 1 0,0-1 0,1 1 0,-1-1 0,1 1 0,-1 0 0,-2 2 0,0 1 0,1-1 0,0 1 0,0 0 0,0 0 0,-3 7 0,-2 13 0,0 0 0,2 0 0,0 0 0,2 1 0,0 34 0,11 126 0,0-109 0,4 0 0,3-1 0,3-1 0,4-1 0,3 0 0,2-2 0,4-1 0,3-1 0,3-2 0,3-2 0,3-2 0,2-1 0,3-3 0,2-1 0,3-3 0,71 57 0,-63-64 0,3-2 0,1-3 0,73 34 0,-131-74 0,-6-2 0,1 0 0,0 0 0,0-1 0,0 2 0,0-1 0,-1 0 0,1 0 0,0 0 0,1 3 0,-4 3 0,-13 3 0,-31 9 0,-93 27 0,32-13 0,-66 31 0,3 6 0,3 8 0,-155 100 0,292-157 0,32-18 0,7-5 0,68-27 0,70-37 0,64-31-352,81-37-1058,94-37 409,246-95-1968,869-333 2699,-1497 597 264,64-25 6,155-67 0,-220 92-5,-1 1-1,0-1 0,1 0 1,-1 0-1,0 0 0,0 0 1,3-4-1,-6 6 11,0 0 0,0 0 0,0-1 0,0 1 0,0 0 0,0 0 0,0 0 0,1-1 0,-1 1 0,0 0 0,0 0 0,0 0 0,0-1 0,0 1 0,0 0 0,0 0 0,-1-1 0,1 1-1,0 0 1,0 0 0,0 0 0,0-1 0,0 1 0,0 0 0,0 0 0,0 0 0,0-1 0,-1 1 0,1 0 0,0 0 0,0 0 0,0 0 0,0-1 0,-1 1 0,1 0 0,0 0 0,0 0 0,0 0 0,-1 0 0,1 0 0,0 0 0,0 0 0,0-1 0,-1 1 0,1 0 0,0 0 0,0 0 0,0 0 0,-1 0 0,1 0 0,0 0 0,0 0-1,-1 0 1,1 1 0,-52 0 1099,50-1-1047,-176 21 3197,134-16-10080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950A-898F-4FA9-BF70-261F1439AFD8}">
  <sheetPr>
    <tabColor rgb="FFFF0000"/>
  </sheetPr>
  <dimension ref="B3:Q35"/>
  <sheetViews>
    <sheetView zoomScale="85" zoomScaleNormal="85" workbookViewId="0">
      <selection activeCell="I5" sqref="I5"/>
    </sheetView>
  </sheetViews>
  <sheetFormatPr defaultRowHeight="15" x14ac:dyDescent="0.25"/>
  <cols>
    <col min="2" max="2" width="9.85546875" bestFit="1" customWidth="1"/>
    <col min="3" max="3" width="15.7109375" style="1" customWidth="1"/>
    <col min="4" max="4" width="13.7109375" style="1" customWidth="1"/>
    <col min="5" max="5" width="21.85546875" style="1" customWidth="1"/>
    <col min="6" max="6" width="14.7109375" style="1" customWidth="1"/>
    <col min="7" max="7" width="18.140625" style="1" customWidth="1"/>
    <col min="8" max="17" width="9.140625" style="1"/>
  </cols>
  <sheetData>
    <row r="3" spans="2:8" ht="15.75" thickBot="1" x14ac:dyDescent="0.3"/>
    <row r="4" spans="2:8" ht="18.75" customHeight="1" x14ac:dyDescent="0.25">
      <c r="B4" s="20"/>
      <c r="C4" s="121" t="s">
        <v>8</v>
      </c>
      <c r="D4" s="122"/>
      <c r="E4" s="125" t="s">
        <v>11</v>
      </c>
      <c r="F4" s="122" t="s">
        <v>10</v>
      </c>
      <c r="G4" s="122"/>
      <c r="H4" s="7"/>
    </row>
    <row r="5" spans="2:8" x14ac:dyDescent="0.25">
      <c r="B5" s="21"/>
      <c r="C5" s="123"/>
      <c r="D5" s="124"/>
      <c r="E5" s="126"/>
      <c r="F5" s="124"/>
      <c r="G5" s="124"/>
      <c r="H5" s="8"/>
    </row>
    <row r="6" spans="2:8" x14ac:dyDescent="0.25">
      <c r="B6" s="21"/>
      <c r="C6" s="9">
        <v>208</v>
      </c>
      <c r="D6" s="4">
        <v>208</v>
      </c>
      <c r="F6" s="4">
        <v>208</v>
      </c>
      <c r="G6" s="4">
        <v>208</v>
      </c>
      <c r="H6" s="8"/>
    </row>
    <row r="7" spans="2:8" x14ac:dyDescent="0.25">
      <c r="B7" s="21"/>
      <c r="C7" s="9">
        <v>530032517</v>
      </c>
      <c r="D7" s="4">
        <v>530032517</v>
      </c>
      <c r="F7" s="4">
        <v>530032517</v>
      </c>
      <c r="G7" s="4">
        <v>530032517</v>
      </c>
      <c r="H7" s="8"/>
    </row>
    <row r="8" spans="2:8" ht="15.75" x14ac:dyDescent="0.25">
      <c r="B8" s="22" t="s">
        <v>2</v>
      </c>
      <c r="C8" s="9">
        <v>42</v>
      </c>
      <c r="D8" s="4">
        <v>42</v>
      </c>
      <c r="F8" s="4">
        <v>42</v>
      </c>
      <c r="G8" s="4">
        <v>42</v>
      </c>
      <c r="H8" s="8"/>
    </row>
    <row r="9" spans="2:8" ht="15.75" x14ac:dyDescent="0.25">
      <c r="B9" s="22" t="s">
        <v>7</v>
      </c>
      <c r="C9" s="10">
        <v>31</v>
      </c>
      <c r="D9" s="5">
        <v>31</v>
      </c>
      <c r="E9" s="5"/>
      <c r="F9" s="5">
        <v>45</v>
      </c>
      <c r="G9" s="5">
        <v>45</v>
      </c>
      <c r="H9" s="8"/>
    </row>
    <row r="10" spans="2:8" ht="15.75" x14ac:dyDescent="0.25">
      <c r="B10" s="22" t="s">
        <v>3</v>
      </c>
      <c r="C10" s="18">
        <v>221</v>
      </c>
      <c r="D10" s="19">
        <v>221</v>
      </c>
      <c r="E10" s="19"/>
      <c r="F10" s="19">
        <v>221</v>
      </c>
      <c r="G10" s="19">
        <v>221</v>
      </c>
      <c r="H10" s="8"/>
    </row>
    <row r="11" spans="2:8" ht="15.75" x14ac:dyDescent="0.25">
      <c r="B11" s="22" t="s">
        <v>4</v>
      </c>
      <c r="C11" s="18">
        <v>106</v>
      </c>
      <c r="D11" s="19">
        <v>98</v>
      </c>
      <c r="E11" s="19"/>
      <c r="F11" s="19">
        <v>106</v>
      </c>
      <c r="G11" s="19">
        <v>98</v>
      </c>
      <c r="H11" s="8"/>
    </row>
    <row r="12" spans="2:8" ht="15.75" x14ac:dyDescent="0.25">
      <c r="B12" s="22"/>
      <c r="C12" s="11"/>
      <c r="H12" s="8"/>
    </row>
    <row r="13" spans="2:8" ht="15.75" x14ac:dyDescent="0.25">
      <c r="B13" s="23">
        <v>1</v>
      </c>
      <c r="C13" s="11">
        <v>13</v>
      </c>
      <c r="D13" s="1">
        <v>60</v>
      </c>
      <c r="F13" s="1">
        <v>33</v>
      </c>
      <c r="G13" s="1">
        <v>60</v>
      </c>
      <c r="H13" s="8"/>
    </row>
    <row r="14" spans="2:8" ht="15.75" x14ac:dyDescent="0.25">
      <c r="B14" s="22" t="s">
        <v>5</v>
      </c>
      <c r="C14" s="10">
        <v>8</v>
      </c>
      <c r="D14" s="5">
        <v>24</v>
      </c>
      <c r="E14" s="5">
        <f>C14+D14</f>
        <v>32</v>
      </c>
      <c r="F14" s="6">
        <v>20</v>
      </c>
      <c r="G14" s="6">
        <v>24</v>
      </c>
      <c r="H14" s="12">
        <f>F14+G14</f>
        <v>44</v>
      </c>
    </row>
    <row r="15" spans="2:8" ht="15.75" x14ac:dyDescent="0.25">
      <c r="B15" s="22" t="s">
        <v>6</v>
      </c>
      <c r="C15" s="11" t="s">
        <v>0</v>
      </c>
      <c r="D15" s="1" t="s">
        <v>1</v>
      </c>
      <c r="F15" s="1" t="s">
        <v>9</v>
      </c>
      <c r="G15" s="1" t="s">
        <v>1</v>
      </c>
      <c r="H15" s="8"/>
    </row>
    <row r="16" spans="2:8" ht="15.75" thickBot="1" x14ac:dyDescent="0.3">
      <c r="B16" s="24"/>
      <c r="C16" s="13"/>
      <c r="D16" s="14"/>
      <c r="E16" s="14"/>
      <c r="F16" s="14"/>
      <c r="G16" s="14"/>
      <c r="H16" s="15"/>
    </row>
    <row r="17" spans="2:8" ht="15.75" x14ac:dyDescent="0.25">
      <c r="B17" s="2"/>
      <c r="D17" s="1" t="s">
        <v>12</v>
      </c>
      <c r="E17" s="3">
        <f>E14+H14</f>
        <v>76</v>
      </c>
    </row>
    <row r="18" spans="2:8" ht="16.5" thickBot="1" x14ac:dyDescent="0.3">
      <c r="B18" s="2"/>
    </row>
    <row r="19" spans="2:8" ht="15.75" x14ac:dyDescent="0.25">
      <c r="B19" s="20"/>
      <c r="C19" s="16"/>
      <c r="D19" s="16"/>
      <c r="E19" s="16"/>
      <c r="F19" s="16"/>
      <c r="G19" s="16"/>
      <c r="H19" s="7"/>
    </row>
    <row r="20" spans="2:8" x14ac:dyDescent="0.25">
      <c r="B20" s="21"/>
      <c r="H20" s="8"/>
    </row>
    <row r="21" spans="2:8" x14ac:dyDescent="0.25">
      <c r="B21" s="21"/>
      <c r="C21" s="1">
        <v>212</v>
      </c>
      <c r="D21" s="1">
        <v>212</v>
      </c>
      <c r="F21" s="1">
        <v>212</v>
      </c>
      <c r="G21" s="1">
        <v>212</v>
      </c>
      <c r="H21" s="8"/>
    </row>
    <row r="22" spans="2:8" x14ac:dyDescent="0.25">
      <c r="B22" s="21"/>
      <c r="C22" s="1">
        <v>530032521</v>
      </c>
      <c r="D22" s="1">
        <v>530032521</v>
      </c>
      <c r="F22" s="1">
        <v>530032521</v>
      </c>
      <c r="G22" s="1">
        <v>530032521</v>
      </c>
      <c r="H22" s="8"/>
    </row>
    <row r="23" spans="2:8" ht="15.75" x14ac:dyDescent="0.25">
      <c r="B23" s="22" t="s">
        <v>2</v>
      </c>
      <c r="C23" s="1">
        <v>42</v>
      </c>
      <c r="D23" s="1">
        <v>42</v>
      </c>
      <c r="F23" s="1">
        <v>42</v>
      </c>
      <c r="G23" s="1">
        <v>42</v>
      </c>
      <c r="H23" s="8"/>
    </row>
    <row r="24" spans="2:8" ht="15.75" x14ac:dyDescent="0.25">
      <c r="B24" s="22" t="s">
        <v>7</v>
      </c>
      <c r="C24" s="17">
        <v>31</v>
      </c>
      <c r="D24" s="17">
        <v>31</v>
      </c>
      <c r="E24" s="17"/>
      <c r="F24" s="17">
        <v>45</v>
      </c>
      <c r="G24" s="17">
        <v>45</v>
      </c>
      <c r="H24" s="8"/>
    </row>
    <row r="25" spans="2:8" ht="15.75" x14ac:dyDescent="0.25">
      <c r="B25" s="22" t="s">
        <v>3</v>
      </c>
      <c r="C25" s="1">
        <v>221</v>
      </c>
      <c r="D25" s="1">
        <v>221</v>
      </c>
      <c r="F25" s="1">
        <v>221</v>
      </c>
      <c r="G25" s="1">
        <v>221</v>
      </c>
      <c r="H25" s="8"/>
    </row>
    <row r="26" spans="2:8" ht="15.75" x14ac:dyDescent="0.25">
      <c r="B26" s="22" t="s">
        <v>4</v>
      </c>
      <c r="C26" s="1">
        <v>106</v>
      </c>
      <c r="D26" s="1">
        <v>98</v>
      </c>
      <c r="F26" s="1">
        <v>106</v>
      </c>
      <c r="G26" s="1">
        <v>98</v>
      </c>
      <c r="H26" s="8"/>
    </row>
    <row r="27" spans="2:8" ht="15.75" x14ac:dyDescent="0.25">
      <c r="B27" s="22"/>
      <c r="H27" s="8"/>
    </row>
    <row r="28" spans="2:8" ht="15.75" x14ac:dyDescent="0.25">
      <c r="B28" s="23">
        <v>1</v>
      </c>
      <c r="C28" s="1">
        <v>20</v>
      </c>
      <c r="D28" s="1">
        <v>80</v>
      </c>
      <c r="F28" s="1">
        <v>65</v>
      </c>
      <c r="G28" s="1">
        <v>80</v>
      </c>
      <c r="H28" s="8"/>
    </row>
    <row r="29" spans="2:8" ht="15.75" x14ac:dyDescent="0.25">
      <c r="B29" s="22" t="s">
        <v>5</v>
      </c>
      <c r="C29" s="17">
        <v>12</v>
      </c>
      <c r="D29" s="17">
        <v>32</v>
      </c>
      <c r="E29" s="6">
        <f>SUM(C29:D29)</f>
        <v>44</v>
      </c>
      <c r="F29" s="17">
        <v>39</v>
      </c>
      <c r="G29" s="17">
        <v>32</v>
      </c>
      <c r="H29" s="12">
        <f>SUM(F29:G29)</f>
        <v>71</v>
      </c>
    </row>
    <row r="30" spans="2:8" ht="15.75" x14ac:dyDescent="0.25">
      <c r="B30" s="22" t="s">
        <v>6</v>
      </c>
      <c r="C30" s="1" t="s">
        <v>0</v>
      </c>
      <c r="D30" s="1" t="s">
        <v>13</v>
      </c>
      <c r="F30" s="1" t="s">
        <v>1</v>
      </c>
      <c r="G30" s="1" t="s">
        <v>13</v>
      </c>
      <c r="H30" s="8"/>
    </row>
    <row r="31" spans="2:8" x14ac:dyDescent="0.25">
      <c r="B31" s="21"/>
      <c r="E31" s="6">
        <f>44+71</f>
        <v>115</v>
      </c>
      <c r="H31" s="8"/>
    </row>
    <row r="32" spans="2:8" x14ac:dyDescent="0.25">
      <c r="B32" s="21"/>
      <c r="H32" s="8"/>
    </row>
    <row r="33" spans="2:8" x14ac:dyDescent="0.25">
      <c r="B33" s="21"/>
      <c r="H33" s="8"/>
    </row>
    <row r="34" spans="2:8" x14ac:dyDescent="0.25">
      <c r="B34" s="21"/>
      <c r="H34" s="8"/>
    </row>
    <row r="35" spans="2:8" ht="15.75" thickBot="1" x14ac:dyDescent="0.3">
      <c r="B35" s="24"/>
      <c r="C35" s="14"/>
      <c r="D35" s="14"/>
      <c r="E35" s="14"/>
      <c r="F35" s="14"/>
      <c r="G35" s="14"/>
      <c r="H35" s="15"/>
    </row>
  </sheetData>
  <mergeCells count="3">
    <mergeCell ref="C4:D5"/>
    <mergeCell ref="F4:G5"/>
    <mergeCell ref="E4: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BEB3-6B11-45ED-AA8A-F73BF7BA4971}">
  <sheetPr>
    <tabColor rgb="FFFF0000"/>
  </sheetPr>
  <dimension ref="B4:M31"/>
  <sheetViews>
    <sheetView topLeftCell="D10" zoomScale="85" zoomScaleNormal="85" workbookViewId="0">
      <selection activeCell="F16" sqref="F16"/>
    </sheetView>
  </sheetViews>
  <sheetFormatPr defaultRowHeight="15" x14ac:dyDescent="0.25"/>
  <cols>
    <col min="2" max="2" width="12" bestFit="1" customWidth="1"/>
    <col min="4" max="4" width="10.85546875" bestFit="1" customWidth="1"/>
    <col min="5" max="5" width="51.42578125" bestFit="1" customWidth="1"/>
    <col min="6" max="6" width="41.140625" customWidth="1"/>
    <col min="7" max="7" width="31.5703125" customWidth="1"/>
    <col min="8" max="8" width="23.85546875" bestFit="1" customWidth="1"/>
    <col min="9" max="9" width="15.5703125" bestFit="1" customWidth="1"/>
    <col min="10" max="10" width="18.85546875" bestFit="1" customWidth="1"/>
    <col min="11" max="11" width="30.42578125" bestFit="1" customWidth="1"/>
  </cols>
  <sheetData>
    <row r="4" spans="2:13" x14ac:dyDescent="0.25">
      <c r="J4" t="s">
        <v>39</v>
      </c>
    </row>
    <row r="5" spans="2:13" x14ac:dyDescent="0.25">
      <c r="B5" s="32" t="s">
        <v>46</v>
      </c>
      <c r="C5" t="s">
        <v>30</v>
      </c>
      <c r="D5" t="s">
        <v>32</v>
      </c>
      <c r="E5" t="s">
        <v>43</v>
      </c>
      <c r="F5" s="25" t="s">
        <v>22</v>
      </c>
      <c r="G5" t="s">
        <v>23</v>
      </c>
      <c r="H5" s="25" t="s">
        <v>24</v>
      </c>
      <c r="I5" t="s">
        <v>25</v>
      </c>
      <c r="J5" s="25" t="s">
        <v>26</v>
      </c>
      <c r="K5" s="26" t="s">
        <v>28</v>
      </c>
    </row>
    <row r="6" spans="2:13" x14ac:dyDescent="0.25">
      <c r="B6" s="32" t="s">
        <v>46</v>
      </c>
      <c r="C6" t="s">
        <v>31</v>
      </c>
      <c r="D6" t="s">
        <v>32</v>
      </c>
      <c r="E6" t="s">
        <v>42</v>
      </c>
      <c r="F6" s="25" t="s">
        <v>22</v>
      </c>
      <c r="G6" t="s">
        <v>29</v>
      </c>
      <c r="H6" s="25" t="s">
        <v>24</v>
      </c>
      <c r="I6">
        <v>0</v>
      </c>
      <c r="J6" s="25" t="s">
        <v>26</v>
      </c>
    </row>
    <row r="7" spans="2:13" x14ac:dyDescent="0.25">
      <c r="B7" s="32" t="s">
        <v>46</v>
      </c>
      <c r="D7" t="s">
        <v>32</v>
      </c>
      <c r="E7" t="s">
        <v>44</v>
      </c>
      <c r="F7" s="25" t="s">
        <v>22</v>
      </c>
      <c r="H7" s="25" t="s">
        <v>24</v>
      </c>
      <c r="I7">
        <v>0</v>
      </c>
      <c r="J7" s="25" t="s">
        <v>26</v>
      </c>
      <c r="K7" t="s">
        <v>35</v>
      </c>
    </row>
    <row r="8" spans="2:13" x14ac:dyDescent="0.25">
      <c r="B8" s="32" t="s">
        <v>46</v>
      </c>
      <c r="C8" s="32"/>
      <c r="D8" s="32" t="s">
        <v>32</v>
      </c>
      <c r="E8" s="32" t="s">
        <v>45</v>
      </c>
      <c r="F8" s="25" t="s">
        <v>22</v>
      </c>
      <c r="G8" t="s">
        <v>33</v>
      </c>
      <c r="H8" s="25" t="s">
        <v>24</v>
      </c>
      <c r="I8" t="s">
        <v>36</v>
      </c>
      <c r="J8" s="25" t="s">
        <v>26</v>
      </c>
      <c r="K8" t="s">
        <v>34</v>
      </c>
    </row>
    <row r="9" spans="2:13" x14ac:dyDescent="0.25">
      <c r="B9" s="32" t="s">
        <v>46</v>
      </c>
      <c r="D9" t="s">
        <v>32</v>
      </c>
      <c r="E9" t="s">
        <v>18</v>
      </c>
      <c r="F9" s="25" t="s">
        <v>22</v>
      </c>
      <c r="G9" t="s">
        <v>37</v>
      </c>
      <c r="H9" s="25" t="s">
        <v>24</v>
      </c>
      <c r="I9">
        <v>0</v>
      </c>
      <c r="J9" s="25" t="s">
        <v>26</v>
      </c>
      <c r="K9" s="26" t="s">
        <v>38</v>
      </c>
    </row>
    <row r="10" spans="2:13" x14ac:dyDescent="0.25">
      <c r="B10" s="32" t="s">
        <v>46</v>
      </c>
      <c r="C10" s="32"/>
      <c r="D10" s="32" t="s">
        <v>32</v>
      </c>
      <c r="E10" s="32" t="s">
        <v>19</v>
      </c>
      <c r="F10" s="25" t="s">
        <v>22</v>
      </c>
      <c r="H10" s="25" t="s">
        <v>24</v>
      </c>
      <c r="J10" s="25" t="s">
        <v>26</v>
      </c>
      <c r="K10" s="27" t="s">
        <v>27</v>
      </c>
      <c r="L10" s="28">
        <v>13000</v>
      </c>
      <c r="M10" s="29">
        <v>7000</v>
      </c>
    </row>
    <row r="11" spans="2:13" x14ac:dyDescent="0.25">
      <c r="B11" s="120" t="s">
        <v>41</v>
      </c>
      <c r="C11" s="120"/>
      <c r="D11" s="31" t="s">
        <v>40</v>
      </c>
      <c r="E11" s="30" t="s">
        <v>20</v>
      </c>
      <c r="F11" s="30" t="s">
        <v>22</v>
      </c>
      <c r="G11" s="30"/>
      <c r="H11" s="30" t="s">
        <v>24</v>
      </c>
      <c r="I11" s="30"/>
      <c r="J11" s="30" t="s">
        <v>26</v>
      </c>
    </row>
    <row r="12" spans="2:13" x14ac:dyDescent="0.25">
      <c r="B12" s="120" t="s">
        <v>41</v>
      </c>
      <c r="C12" s="120"/>
      <c r="D12" s="31" t="s">
        <v>40</v>
      </c>
      <c r="E12" s="30" t="s">
        <v>21</v>
      </c>
      <c r="F12" s="30" t="s">
        <v>22</v>
      </c>
      <c r="G12" s="30"/>
      <c r="H12" s="30" t="s">
        <v>24</v>
      </c>
      <c r="I12" s="30"/>
      <c r="J12" s="30" t="s">
        <v>26</v>
      </c>
    </row>
    <row r="13" spans="2:13" x14ac:dyDescent="0.25">
      <c r="F13" s="34"/>
    </row>
    <row r="14" spans="2:13" ht="15.75" thickBot="1" x14ac:dyDescent="0.3">
      <c r="F14" s="34"/>
    </row>
    <row r="15" spans="2:13" x14ac:dyDescent="0.25">
      <c r="B15" s="35" t="s">
        <v>46</v>
      </c>
      <c r="C15" s="36"/>
      <c r="D15" s="36" t="s">
        <v>47</v>
      </c>
      <c r="E15" s="36" t="s">
        <v>48</v>
      </c>
      <c r="F15" s="47">
        <v>200338331053</v>
      </c>
      <c r="G15" t="s">
        <v>61</v>
      </c>
    </row>
    <row r="16" spans="2:13" ht="15.75" thickBot="1" x14ac:dyDescent="0.3">
      <c r="B16" s="48" t="s">
        <v>46</v>
      </c>
      <c r="C16" s="44"/>
      <c r="D16" s="44"/>
      <c r="E16" s="44" t="s">
        <v>49</v>
      </c>
      <c r="F16" s="46">
        <v>200259500203</v>
      </c>
      <c r="G16" t="s">
        <v>61</v>
      </c>
    </row>
    <row r="17" spans="2:7" x14ac:dyDescent="0.25">
      <c r="B17" s="35" t="s">
        <v>46</v>
      </c>
      <c r="C17" s="36"/>
      <c r="D17" s="36" t="s">
        <v>50</v>
      </c>
      <c r="E17" s="36" t="s">
        <v>51</v>
      </c>
      <c r="F17" s="47">
        <v>200559504521</v>
      </c>
      <c r="G17" t="s">
        <v>61</v>
      </c>
    </row>
    <row r="18" spans="2:7" ht="15.75" thickBot="1" x14ac:dyDescent="0.3">
      <c r="B18" s="48" t="s">
        <v>46</v>
      </c>
      <c r="C18" s="44"/>
      <c r="D18" s="44"/>
      <c r="E18" s="44"/>
      <c r="F18" s="49"/>
    </row>
    <row r="19" spans="2:7" x14ac:dyDescent="0.25">
      <c r="B19" s="35" t="s">
        <v>46</v>
      </c>
      <c r="C19" s="36"/>
      <c r="D19" s="36" t="s">
        <v>52</v>
      </c>
      <c r="E19" s="36" t="s">
        <v>53</v>
      </c>
      <c r="F19" s="47">
        <v>200053500153</v>
      </c>
      <c r="G19" t="s">
        <v>61</v>
      </c>
    </row>
    <row r="20" spans="2:7" ht="15.75" thickBot="1" x14ac:dyDescent="0.3">
      <c r="B20" s="48" t="s">
        <v>46</v>
      </c>
      <c r="C20" s="44"/>
      <c r="D20" s="44"/>
      <c r="E20" s="44"/>
      <c r="F20" s="49"/>
    </row>
    <row r="21" spans="2:7" x14ac:dyDescent="0.25">
      <c r="B21" s="35" t="s">
        <v>46</v>
      </c>
      <c r="C21" s="36"/>
      <c r="D21" s="36" t="s">
        <v>54</v>
      </c>
      <c r="E21" s="36" t="s">
        <v>55</v>
      </c>
      <c r="F21" s="37">
        <v>200428105751</v>
      </c>
      <c r="G21" t="s">
        <v>61</v>
      </c>
    </row>
    <row r="22" spans="2:7" x14ac:dyDescent="0.25">
      <c r="B22" s="38" t="s">
        <v>46</v>
      </c>
      <c r="E22" t="s">
        <v>56</v>
      </c>
      <c r="F22" s="39">
        <v>200163300456</v>
      </c>
      <c r="G22" t="s">
        <v>61</v>
      </c>
    </row>
    <row r="23" spans="2:7" x14ac:dyDescent="0.25">
      <c r="B23" s="40" t="s">
        <v>59</v>
      </c>
      <c r="E23" s="41" t="s">
        <v>57</v>
      </c>
      <c r="F23" s="42">
        <v>200222401333</v>
      </c>
      <c r="G23" t="s">
        <v>61</v>
      </c>
    </row>
    <row r="24" spans="2:7" ht="15.75" thickBot="1" x14ac:dyDescent="0.3">
      <c r="B24" s="43" t="s">
        <v>59</v>
      </c>
      <c r="C24" s="44"/>
      <c r="D24" s="44"/>
      <c r="E24" s="45" t="s">
        <v>58</v>
      </c>
      <c r="F24" s="46">
        <v>200081804963</v>
      </c>
      <c r="G24" t="s">
        <v>61</v>
      </c>
    </row>
    <row r="25" spans="2:7" x14ac:dyDescent="0.25">
      <c r="F25" s="34"/>
    </row>
    <row r="26" spans="2:7" x14ac:dyDescent="0.25">
      <c r="F26" s="33"/>
    </row>
    <row r="27" spans="2:7" x14ac:dyDescent="0.25">
      <c r="E27" t="s">
        <v>60</v>
      </c>
      <c r="F27" s="33"/>
    </row>
    <row r="28" spans="2:7" x14ac:dyDescent="0.25">
      <c r="F28" s="33"/>
    </row>
    <row r="29" spans="2:7" x14ac:dyDescent="0.25">
      <c r="F29" s="33"/>
    </row>
    <row r="30" spans="2:7" x14ac:dyDescent="0.25">
      <c r="F30" s="33"/>
    </row>
    <row r="31" spans="2:7" x14ac:dyDescent="0.25">
      <c r="F31" s="33"/>
    </row>
  </sheetData>
  <mergeCells count="2">
    <mergeCell ref="B11:C11"/>
    <mergeCell ref="B12:C12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C941-D23E-4E7B-8B96-169117728E10}">
  <sheetPr>
    <tabColor rgb="FFFF0000"/>
  </sheetPr>
  <dimension ref="A4:H13"/>
  <sheetViews>
    <sheetView workbookViewId="0">
      <selection activeCell="F12" sqref="F12"/>
    </sheetView>
  </sheetViews>
  <sheetFormatPr defaultRowHeight="15" x14ac:dyDescent="0.25"/>
  <cols>
    <col min="2" max="2" width="36.5703125" bestFit="1" customWidth="1"/>
    <col min="6" max="6" width="10.85546875" bestFit="1" customWidth="1"/>
    <col min="7" max="7" width="36.5703125" bestFit="1" customWidth="1"/>
  </cols>
  <sheetData>
    <row r="4" spans="1:8" x14ac:dyDescent="0.25">
      <c r="A4" s="50"/>
      <c r="B4" s="80" t="s">
        <v>96</v>
      </c>
      <c r="C4" s="52"/>
    </row>
    <row r="5" spans="1:8" x14ac:dyDescent="0.25">
      <c r="A5" s="53"/>
      <c r="C5" s="54"/>
    </row>
    <row r="6" spans="1:8" x14ac:dyDescent="0.25">
      <c r="A6" s="53"/>
      <c r="B6" s="77"/>
      <c r="C6" s="54"/>
    </row>
    <row r="7" spans="1:8" x14ac:dyDescent="0.25">
      <c r="A7" s="53"/>
      <c r="B7" s="77" t="s">
        <v>63</v>
      </c>
      <c r="C7" s="54"/>
      <c r="F7" s="50"/>
      <c r="G7" s="51"/>
      <c r="H7" s="52"/>
    </row>
    <row r="8" spans="1:8" x14ac:dyDescent="0.25">
      <c r="A8" s="53"/>
      <c r="B8" s="77" t="s">
        <v>62</v>
      </c>
      <c r="C8" s="54"/>
      <c r="F8" s="77" t="s">
        <v>95</v>
      </c>
      <c r="G8" s="78"/>
      <c r="H8" s="54"/>
    </row>
    <row r="9" spans="1:8" x14ac:dyDescent="0.25">
      <c r="A9" s="53"/>
      <c r="B9" s="77"/>
      <c r="C9" s="54"/>
      <c r="F9" s="77" t="s">
        <v>93</v>
      </c>
      <c r="G9" s="78" t="s">
        <v>64</v>
      </c>
      <c r="H9" s="54"/>
    </row>
    <row r="10" spans="1:8" x14ac:dyDescent="0.25">
      <c r="A10" s="53"/>
      <c r="C10" s="54"/>
      <c r="F10" s="77" t="s">
        <v>93</v>
      </c>
      <c r="G10" s="78" t="s">
        <v>65</v>
      </c>
      <c r="H10" s="54"/>
    </row>
    <row r="11" spans="1:8" x14ac:dyDescent="0.25">
      <c r="A11" s="55"/>
      <c r="B11" s="56"/>
      <c r="C11" s="57"/>
      <c r="F11" s="77" t="s">
        <v>40</v>
      </c>
      <c r="G11" s="79" t="s">
        <v>66</v>
      </c>
      <c r="H11" s="54"/>
    </row>
    <row r="12" spans="1:8" x14ac:dyDescent="0.25">
      <c r="F12" s="77"/>
      <c r="G12" s="78"/>
      <c r="H12" s="54"/>
    </row>
    <row r="13" spans="1:8" x14ac:dyDescent="0.25">
      <c r="F13" s="55"/>
      <c r="G13" s="56"/>
      <c r="H13" s="5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429F-90C5-45FE-8391-29C6F12B5BE7}">
  <sheetPr>
    <tabColor rgb="FF002060"/>
  </sheetPr>
  <dimension ref="A3:Q38"/>
  <sheetViews>
    <sheetView zoomScale="90" zoomScaleNormal="90" workbookViewId="0">
      <selection activeCell="L8" sqref="L8"/>
    </sheetView>
  </sheetViews>
  <sheetFormatPr defaultRowHeight="15" x14ac:dyDescent="0.25"/>
  <cols>
    <col min="1" max="1" width="3.28515625" customWidth="1"/>
    <col min="3" max="3" width="18.85546875" bestFit="1" customWidth="1"/>
    <col min="4" max="4" width="11" bestFit="1" customWidth="1"/>
    <col min="5" max="5" width="11.28515625" bestFit="1" customWidth="1"/>
    <col min="6" max="6" width="7.28515625" bestFit="1" customWidth="1"/>
    <col min="7" max="7" width="7.28515625" customWidth="1"/>
    <col min="9" max="9" width="2.7109375" customWidth="1"/>
    <col min="12" max="12" width="20.140625" bestFit="1" customWidth="1"/>
    <col min="13" max="13" width="10.85546875" bestFit="1" customWidth="1"/>
    <col min="17" max="17" width="30.85546875" style="76" bestFit="1" customWidth="1"/>
  </cols>
  <sheetData>
    <row r="3" spans="1:17" x14ac:dyDescent="0.25">
      <c r="C3" s="127" t="s">
        <v>78</v>
      </c>
      <c r="D3" s="127"/>
      <c r="E3" s="127"/>
      <c r="L3" s="127" t="s">
        <v>92</v>
      </c>
      <c r="M3" s="127"/>
      <c r="N3" s="127"/>
      <c r="O3" s="127"/>
      <c r="Q3" s="76" t="s">
        <v>94</v>
      </c>
    </row>
    <row r="4" spans="1:17" x14ac:dyDescent="0.25">
      <c r="A4" s="32"/>
      <c r="B4" s="62"/>
      <c r="C4" s="63"/>
      <c r="D4" s="63"/>
      <c r="E4" s="63"/>
      <c r="F4" s="63"/>
      <c r="G4" s="63"/>
      <c r="H4" s="64"/>
      <c r="I4" s="32"/>
      <c r="K4" s="50"/>
      <c r="L4" s="51"/>
      <c r="M4" s="51"/>
      <c r="N4" s="51"/>
      <c r="O4" s="51"/>
      <c r="P4" s="52"/>
    </row>
    <row r="5" spans="1:17" x14ac:dyDescent="0.25">
      <c r="A5" s="32"/>
      <c r="B5" s="75"/>
      <c r="C5" t="s">
        <v>67</v>
      </c>
      <c r="D5" s="75"/>
      <c r="E5" t="s">
        <v>68</v>
      </c>
      <c r="F5" s="69"/>
      <c r="G5" s="74"/>
      <c r="H5" s="70"/>
      <c r="I5" s="32"/>
      <c r="K5" s="71"/>
      <c r="L5" s="58" t="s">
        <v>79</v>
      </c>
      <c r="M5" t="s">
        <v>80</v>
      </c>
      <c r="N5" s="50"/>
      <c r="O5" s="52"/>
      <c r="P5" s="54"/>
      <c r="Q5" s="76">
        <v>130</v>
      </c>
    </row>
    <row r="6" spans="1:17" x14ac:dyDescent="0.25">
      <c r="A6" s="32"/>
      <c r="B6" s="60" t="s">
        <v>93</v>
      </c>
      <c r="C6" s="60" t="s">
        <v>69</v>
      </c>
      <c r="D6" s="60"/>
      <c r="E6" s="60" t="s">
        <v>68</v>
      </c>
      <c r="F6" s="60" t="s">
        <v>70</v>
      </c>
      <c r="G6" s="60"/>
      <c r="H6" s="60">
        <v>178</v>
      </c>
      <c r="I6" s="32"/>
      <c r="K6" s="73"/>
      <c r="L6" t="s">
        <v>81</v>
      </c>
      <c r="M6" t="s">
        <v>80</v>
      </c>
      <c r="N6" s="55"/>
      <c r="O6" s="57"/>
      <c r="P6" s="54"/>
      <c r="Q6" s="76">
        <v>151</v>
      </c>
    </row>
    <row r="7" spans="1:17" x14ac:dyDescent="0.25">
      <c r="A7" s="32"/>
      <c r="B7" s="59" t="s">
        <v>93</v>
      </c>
      <c r="C7" s="60">
        <v>489112508</v>
      </c>
      <c r="D7" s="60"/>
      <c r="E7" s="60" t="s">
        <v>68</v>
      </c>
      <c r="F7" s="60" t="s">
        <v>70</v>
      </c>
      <c r="G7" s="60"/>
      <c r="H7" s="61">
        <v>189</v>
      </c>
      <c r="I7" s="32"/>
      <c r="K7" s="60" t="s">
        <v>93</v>
      </c>
      <c r="L7" s="68">
        <v>488112511</v>
      </c>
      <c r="M7" s="68" t="s">
        <v>80</v>
      </c>
      <c r="N7" s="68" t="s">
        <v>70</v>
      </c>
      <c r="O7" s="68">
        <v>130</v>
      </c>
      <c r="P7" s="54"/>
      <c r="Q7" s="76">
        <v>153</v>
      </c>
    </row>
    <row r="8" spans="1:17" x14ac:dyDescent="0.25">
      <c r="A8" s="32"/>
      <c r="B8" s="60" t="s">
        <v>93</v>
      </c>
      <c r="C8" s="60" t="s">
        <v>71</v>
      </c>
      <c r="D8" s="60"/>
      <c r="E8" s="60" t="s">
        <v>68</v>
      </c>
      <c r="F8" s="60" t="s">
        <v>70</v>
      </c>
      <c r="G8" s="60"/>
      <c r="H8" s="60">
        <v>510</v>
      </c>
      <c r="I8" s="32"/>
      <c r="K8" s="71"/>
      <c r="L8" t="s">
        <v>82</v>
      </c>
      <c r="M8" t="s">
        <v>80</v>
      </c>
      <c r="N8" s="50"/>
      <c r="O8" s="52"/>
      <c r="P8" s="54"/>
      <c r="Q8" s="76">
        <v>154</v>
      </c>
    </row>
    <row r="9" spans="1:17" x14ac:dyDescent="0.25">
      <c r="A9" s="32"/>
      <c r="B9" s="60" t="s">
        <v>93</v>
      </c>
      <c r="C9" s="60" t="s">
        <v>72</v>
      </c>
      <c r="D9" s="60"/>
      <c r="E9" s="60" t="s">
        <v>68</v>
      </c>
      <c r="F9" s="60" t="s">
        <v>73</v>
      </c>
      <c r="G9" s="60"/>
      <c r="H9" s="60">
        <v>546</v>
      </c>
      <c r="I9" s="32"/>
      <c r="K9" s="72"/>
      <c r="L9" t="s">
        <v>83</v>
      </c>
      <c r="M9" t="s">
        <v>80</v>
      </c>
      <c r="N9" s="53"/>
      <c r="O9" s="54"/>
      <c r="P9" s="54"/>
      <c r="Q9" s="76">
        <v>159</v>
      </c>
    </row>
    <row r="10" spans="1:17" x14ac:dyDescent="0.25">
      <c r="A10" s="32"/>
      <c r="B10" s="71"/>
      <c r="C10" t="s">
        <v>74</v>
      </c>
      <c r="D10" s="71"/>
      <c r="E10" t="s">
        <v>68</v>
      </c>
      <c r="F10" s="50"/>
      <c r="G10" s="51"/>
      <c r="H10" s="52"/>
      <c r="I10" s="32"/>
      <c r="K10" s="73"/>
      <c r="L10" t="s">
        <v>84</v>
      </c>
      <c r="M10" t="s">
        <v>80</v>
      </c>
      <c r="N10" s="55"/>
      <c r="O10" s="57"/>
      <c r="P10" s="54"/>
      <c r="Q10" s="76">
        <v>160</v>
      </c>
    </row>
    <row r="11" spans="1:17" x14ac:dyDescent="0.25">
      <c r="A11" s="32"/>
      <c r="B11" s="72"/>
      <c r="C11" t="s">
        <v>75</v>
      </c>
      <c r="D11" s="72"/>
      <c r="E11" t="s">
        <v>68</v>
      </c>
      <c r="F11" s="53"/>
      <c r="H11" s="54"/>
      <c r="I11" s="32"/>
      <c r="K11" s="60" t="s">
        <v>93</v>
      </c>
      <c r="L11" s="68">
        <v>489112513</v>
      </c>
      <c r="M11" s="68" t="s">
        <v>80</v>
      </c>
      <c r="N11" s="68" t="s">
        <v>76</v>
      </c>
      <c r="O11" s="68">
        <v>151</v>
      </c>
      <c r="P11" s="54"/>
      <c r="Q11" s="76">
        <v>162</v>
      </c>
    </row>
    <row r="12" spans="1:17" x14ac:dyDescent="0.25">
      <c r="A12" s="32"/>
      <c r="B12" s="73"/>
      <c r="C12">
        <v>920092551</v>
      </c>
      <c r="D12" s="73"/>
      <c r="E12" t="s">
        <v>68</v>
      </c>
      <c r="F12" s="55"/>
      <c r="G12" s="56"/>
      <c r="H12" s="57"/>
      <c r="I12" s="32"/>
      <c r="K12" s="60" t="s">
        <v>93</v>
      </c>
      <c r="L12" s="68">
        <v>489112512</v>
      </c>
      <c r="M12" s="68" t="s">
        <v>80</v>
      </c>
      <c r="N12" s="68" t="s">
        <v>76</v>
      </c>
      <c r="O12" s="68">
        <v>153</v>
      </c>
      <c r="P12" s="54"/>
      <c r="Q12" s="76">
        <v>163</v>
      </c>
    </row>
    <row r="13" spans="1:17" x14ac:dyDescent="0.25">
      <c r="A13" s="32"/>
      <c r="B13" s="60" t="s">
        <v>93</v>
      </c>
      <c r="C13" s="60">
        <v>531092501</v>
      </c>
      <c r="D13" s="60"/>
      <c r="E13" s="60" t="s">
        <v>68</v>
      </c>
      <c r="F13" s="60" t="s">
        <v>73</v>
      </c>
      <c r="G13" s="60"/>
      <c r="H13" s="60">
        <v>764</v>
      </c>
      <c r="I13" s="32"/>
      <c r="K13" s="60" t="s">
        <v>93</v>
      </c>
      <c r="L13" s="68">
        <v>489112523</v>
      </c>
      <c r="M13" s="68" t="s">
        <v>80</v>
      </c>
      <c r="N13" s="68" t="s">
        <v>76</v>
      </c>
      <c r="O13" s="68">
        <v>154</v>
      </c>
      <c r="P13" s="54"/>
      <c r="Q13" s="76">
        <v>167</v>
      </c>
    </row>
    <row r="14" spans="1:17" x14ac:dyDescent="0.25">
      <c r="A14" s="32"/>
      <c r="B14" s="60" t="s">
        <v>93</v>
      </c>
      <c r="C14" s="60">
        <v>491032622</v>
      </c>
      <c r="D14" s="60"/>
      <c r="E14" s="60" t="s">
        <v>68</v>
      </c>
      <c r="F14" s="60" t="s">
        <v>76</v>
      </c>
      <c r="G14" s="60"/>
      <c r="H14" s="60">
        <v>1284</v>
      </c>
      <c r="I14" s="32"/>
      <c r="K14" s="71"/>
      <c r="L14" t="s">
        <v>85</v>
      </c>
      <c r="M14" t="s">
        <v>80</v>
      </c>
      <c r="N14" s="50"/>
      <c r="O14" s="52"/>
      <c r="P14" s="54"/>
      <c r="Q14" s="76">
        <v>168</v>
      </c>
    </row>
    <row r="15" spans="1:17" x14ac:dyDescent="0.25">
      <c r="A15" s="60"/>
      <c r="B15" s="60"/>
      <c r="C15" s="60">
        <v>532032632</v>
      </c>
      <c r="D15" s="60"/>
      <c r="E15" s="60" t="s">
        <v>68</v>
      </c>
      <c r="F15" s="60"/>
      <c r="G15" s="60"/>
      <c r="H15" s="60"/>
      <c r="I15" s="32"/>
      <c r="K15" s="73"/>
      <c r="L15" t="s">
        <v>86</v>
      </c>
      <c r="M15" t="s">
        <v>80</v>
      </c>
      <c r="N15" s="55"/>
      <c r="O15" s="57"/>
      <c r="P15" s="54"/>
      <c r="Q15" s="76">
        <v>170</v>
      </c>
    </row>
    <row r="16" spans="1:17" x14ac:dyDescent="0.25">
      <c r="A16" s="60"/>
      <c r="B16" s="60" t="s">
        <v>93</v>
      </c>
      <c r="C16" s="60">
        <v>490032647</v>
      </c>
      <c r="D16" s="60"/>
      <c r="E16" s="60" t="s">
        <v>68</v>
      </c>
      <c r="F16" s="60" t="s">
        <v>77</v>
      </c>
      <c r="G16" s="60"/>
      <c r="H16" s="60">
        <v>1450</v>
      </c>
      <c r="I16" s="32"/>
      <c r="K16" s="60" t="s">
        <v>93</v>
      </c>
      <c r="L16" s="68">
        <v>489112530</v>
      </c>
      <c r="M16" s="68" t="s">
        <v>80</v>
      </c>
      <c r="N16" s="68" t="s">
        <v>70</v>
      </c>
      <c r="O16" s="68">
        <v>159</v>
      </c>
      <c r="P16" s="54"/>
      <c r="Q16" s="76">
        <v>174</v>
      </c>
    </row>
    <row r="17" spans="1:17" x14ac:dyDescent="0.25">
      <c r="A17" s="32"/>
      <c r="B17" s="53"/>
      <c r="H17" s="54"/>
      <c r="I17" s="32"/>
      <c r="K17" s="60" t="s">
        <v>93</v>
      </c>
      <c r="L17" s="68">
        <v>489112521</v>
      </c>
      <c r="M17" s="68" t="s">
        <v>80</v>
      </c>
      <c r="N17" s="68" t="s">
        <v>70</v>
      </c>
      <c r="O17" s="68">
        <v>160</v>
      </c>
      <c r="P17" s="54"/>
      <c r="Q17" s="76">
        <v>175</v>
      </c>
    </row>
    <row r="18" spans="1:17" x14ac:dyDescent="0.25">
      <c r="A18" s="32"/>
      <c r="B18" s="65"/>
      <c r="C18" s="66"/>
      <c r="D18" s="66"/>
      <c r="E18" s="66"/>
      <c r="F18" s="66"/>
      <c r="G18" s="66"/>
      <c r="H18" s="67"/>
      <c r="I18" s="32"/>
      <c r="K18" s="75"/>
      <c r="L18" t="s">
        <v>87</v>
      </c>
      <c r="M18" t="s">
        <v>80</v>
      </c>
      <c r="N18" s="69"/>
      <c r="O18" s="70"/>
      <c r="P18" s="54"/>
      <c r="Q18" s="76">
        <v>184</v>
      </c>
    </row>
    <row r="19" spans="1:17" x14ac:dyDescent="0.25">
      <c r="K19" s="60" t="s">
        <v>93</v>
      </c>
      <c r="L19" s="68">
        <v>489112544</v>
      </c>
      <c r="M19" s="68" t="s">
        <v>80</v>
      </c>
      <c r="N19" s="68" t="s">
        <v>70</v>
      </c>
      <c r="O19" s="68">
        <v>162</v>
      </c>
      <c r="P19" s="54"/>
      <c r="Q19" s="76">
        <v>187</v>
      </c>
    </row>
    <row r="20" spans="1:17" x14ac:dyDescent="0.25">
      <c r="K20" s="60" t="s">
        <v>93</v>
      </c>
      <c r="L20" s="68">
        <v>489112519</v>
      </c>
      <c r="M20" s="68" t="s">
        <v>80</v>
      </c>
      <c r="N20" s="68" t="s">
        <v>70</v>
      </c>
      <c r="O20" s="68">
        <v>163</v>
      </c>
      <c r="P20" s="54"/>
      <c r="Q20" s="76">
        <v>189</v>
      </c>
    </row>
    <row r="21" spans="1:17" x14ac:dyDescent="0.25">
      <c r="K21" s="75"/>
      <c r="L21" t="s">
        <v>88</v>
      </c>
      <c r="M21" t="s">
        <v>80</v>
      </c>
      <c r="N21" s="69"/>
      <c r="O21" s="70"/>
      <c r="P21" s="54"/>
      <c r="Q21" s="76">
        <v>190</v>
      </c>
    </row>
    <row r="22" spans="1:17" x14ac:dyDescent="0.25">
      <c r="K22" s="60" t="s">
        <v>93</v>
      </c>
      <c r="L22" s="68">
        <v>491032626</v>
      </c>
      <c r="M22" s="68" t="s">
        <v>80</v>
      </c>
      <c r="N22" s="68" t="s">
        <v>70</v>
      </c>
      <c r="O22" s="68">
        <v>167</v>
      </c>
      <c r="P22" s="54"/>
      <c r="Q22" s="76">
        <v>601</v>
      </c>
    </row>
    <row r="23" spans="1:17" x14ac:dyDescent="0.25">
      <c r="K23" s="60" t="s">
        <v>93</v>
      </c>
      <c r="L23" s="68">
        <v>489112548</v>
      </c>
      <c r="M23" s="68" t="s">
        <v>80</v>
      </c>
      <c r="N23" s="68" t="s">
        <v>70</v>
      </c>
      <c r="O23" s="68">
        <v>168</v>
      </c>
      <c r="P23" s="54"/>
    </row>
    <row r="24" spans="1:17" x14ac:dyDescent="0.25">
      <c r="K24" s="60" t="s">
        <v>93</v>
      </c>
      <c r="L24" s="68">
        <v>489112509</v>
      </c>
      <c r="M24" s="68" t="s">
        <v>80</v>
      </c>
      <c r="N24" s="68" t="s">
        <v>70</v>
      </c>
      <c r="O24" s="68">
        <v>170</v>
      </c>
      <c r="P24" s="54"/>
    </row>
    <row r="25" spans="1:17" x14ac:dyDescent="0.25">
      <c r="K25" s="71"/>
      <c r="L25" t="s">
        <v>89</v>
      </c>
      <c r="M25" t="s">
        <v>80</v>
      </c>
      <c r="N25" s="50"/>
      <c r="O25" s="52"/>
      <c r="P25" s="54"/>
    </row>
    <row r="26" spans="1:17" x14ac:dyDescent="0.25">
      <c r="K26" s="73"/>
      <c r="L26" t="s">
        <v>90</v>
      </c>
      <c r="M26" t="s">
        <v>80</v>
      </c>
      <c r="N26" s="55"/>
      <c r="O26" s="57"/>
      <c r="P26" s="54"/>
    </row>
    <row r="27" spans="1:17" x14ac:dyDescent="0.25">
      <c r="K27" s="60" t="s">
        <v>93</v>
      </c>
      <c r="L27" s="68">
        <v>489112510</v>
      </c>
      <c r="M27" s="68" t="s">
        <v>80</v>
      </c>
      <c r="N27" s="68" t="s">
        <v>70</v>
      </c>
      <c r="O27" s="68">
        <v>174</v>
      </c>
      <c r="P27" s="54"/>
    </row>
    <row r="28" spans="1:17" x14ac:dyDescent="0.25">
      <c r="K28" s="60" t="s">
        <v>93</v>
      </c>
      <c r="L28" s="68">
        <v>489112525</v>
      </c>
      <c r="M28" s="68" t="s">
        <v>80</v>
      </c>
      <c r="N28" s="68" t="s">
        <v>70</v>
      </c>
      <c r="O28" s="68">
        <v>175</v>
      </c>
      <c r="P28" s="54"/>
    </row>
    <row r="29" spans="1:17" x14ac:dyDescent="0.25">
      <c r="K29" s="75"/>
      <c r="L29" t="s">
        <v>91</v>
      </c>
      <c r="M29" t="s">
        <v>80</v>
      </c>
      <c r="N29" s="69"/>
      <c r="O29" s="70"/>
      <c r="P29" s="54"/>
    </row>
    <row r="30" spans="1:17" x14ac:dyDescent="0.25">
      <c r="K30" s="60" t="s">
        <v>93</v>
      </c>
      <c r="L30" s="68">
        <v>489112528</v>
      </c>
      <c r="M30" s="68" t="s">
        <v>80</v>
      </c>
      <c r="N30" s="68" t="s">
        <v>70</v>
      </c>
      <c r="O30" s="68">
        <v>184</v>
      </c>
      <c r="P30" s="54"/>
    </row>
    <row r="31" spans="1:17" x14ac:dyDescent="0.25">
      <c r="K31" s="60" t="s">
        <v>93</v>
      </c>
      <c r="L31" s="68">
        <v>489112511</v>
      </c>
      <c r="M31" s="68" t="s">
        <v>80</v>
      </c>
      <c r="N31" s="68" t="s">
        <v>70</v>
      </c>
      <c r="O31" s="68">
        <v>187</v>
      </c>
      <c r="P31" s="54"/>
    </row>
    <row r="32" spans="1:17" x14ac:dyDescent="0.25">
      <c r="K32" s="75"/>
      <c r="L32" s="68">
        <v>489112508</v>
      </c>
      <c r="M32" s="68" t="s">
        <v>80</v>
      </c>
      <c r="N32" s="68" t="s">
        <v>70</v>
      </c>
      <c r="O32" s="68">
        <v>189</v>
      </c>
      <c r="P32" s="54"/>
    </row>
    <row r="33" spans="11:16" x14ac:dyDescent="0.25">
      <c r="K33" s="60" t="s">
        <v>93</v>
      </c>
      <c r="L33" s="68">
        <v>491032627</v>
      </c>
      <c r="M33" s="68" t="s">
        <v>80</v>
      </c>
      <c r="N33" s="68" t="s">
        <v>70</v>
      </c>
      <c r="O33" s="68">
        <v>190</v>
      </c>
      <c r="P33" s="54"/>
    </row>
    <row r="34" spans="11:16" x14ac:dyDescent="0.25">
      <c r="K34" s="60" t="s">
        <v>93</v>
      </c>
      <c r="L34" s="68">
        <v>200559504521</v>
      </c>
      <c r="M34" s="68" t="s">
        <v>80</v>
      </c>
      <c r="N34" s="68" t="s">
        <v>70</v>
      </c>
      <c r="O34" s="68">
        <v>601</v>
      </c>
      <c r="P34" s="54"/>
    </row>
    <row r="35" spans="11:16" x14ac:dyDescent="0.25">
      <c r="K35" s="53"/>
      <c r="P35" s="54"/>
    </row>
    <row r="36" spans="11:16" x14ac:dyDescent="0.25">
      <c r="K36" s="53"/>
      <c r="P36" s="54"/>
    </row>
    <row r="37" spans="11:16" x14ac:dyDescent="0.25">
      <c r="K37" s="53"/>
      <c r="P37" s="54"/>
    </row>
    <row r="38" spans="11:16" x14ac:dyDescent="0.25">
      <c r="K38" s="55"/>
      <c r="L38" s="56"/>
      <c r="M38" s="56"/>
      <c r="N38" s="56"/>
      <c r="O38" s="56"/>
      <c r="P38" s="57"/>
    </row>
  </sheetData>
  <mergeCells count="2">
    <mergeCell ref="C3:E3"/>
    <mergeCell ref="L3:O3"/>
  </mergeCells>
  <conditionalFormatting sqref="K15:O17 A15:J16 B17:J17 B4:O14 B18:O38">
    <cfRule type="duplicateValues" dxfId="8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12CB-F522-4A01-8E85-F6EC39C6CDD1}">
  <sheetPr>
    <tabColor rgb="FFFF0000"/>
  </sheetPr>
  <dimension ref="A1:K14"/>
  <sheetViews>
    <sheetView topLeftCell="A7" workbookViewId="0">
      <selection activeCell="F34" sqref="F34"/>
    </sheetView>
  </sheetViews>
  <sheetFormatPr defaultRowHeight="15" x14ac:dyDescent="0.25"/>
  <cols>
    <col min="4" max="4" width="36.85546875" customWidth="1"/>
    <col min="7" max="7" width="3.140625" customWidth="1"/>
    <col min="8" max="8" width="31.5703125" customWidth="1"/>
    <col min="9" max="9" width="28.5703125" bestFit="1" customWidth="1"/>
    <col min="10" max="10" width="43.42578125" bestFit="1" customWidth="1"/>
    <col min="11" max="11" width="3" customWidth="1"/>
  </cols>
  <sheetData>
    <row r="1" spans="1:11" ht="15.75" thickBot="1" x14ac:dyDescent="0.3"/>
    <row r="2" spans="1:11" ht="15.75" thickBot="1" x14ac:dyDescent="0.3">
      <c r="A2" s="82"/>
      <c r="B2" s="97">
        <v>46090</v>
      </c>
      <c r="C2" s="36"/>
      <c r="D2" s="83"/>
    </row>
    <row r="3" spans="1:11" ht="19.5" thickBot="1" x14ac:dyDescent="0.3">
      <c r="A3" s="84"/>
      <c r="D3" s="85"/>
      <c r="E3" s="81">
        <v>46121</v>
      </c>
      <c r="H3" s="128" t="s">
        <v>109</v>
      </c>
      <c r="I3" s="129"/>
      <c r="J3" s="130"/>
    </row>
    <row r="4" spans="1:11" ht="15.75" thickBot="1" x14ac:dyDescent="0.3">
      <c r="A4" s="84"/>
      <c r="D4" s="85"/>
    </row>
    <row r="5" spans="1:11" x14ac:dyDescent="0.25">
      <c r="A5" s="84"/>
      <c r="B5" s="81">
        <v>46090</v>
      </c>
      <c r="C5" s="25" t="s">
        <v>95</v>
      </c>
      <c r="D5" s="85" t="s">
        <v>104</v>
      </c>
      <c r="G5" s="88"/>
      <c r="H5" s="89"/>
      <c r="I5" s="89"/>
      <c r="J5" s="89"/>
      <c r="K5" s="90"/>
    </row>
    <row r="6" spans="1:11" x14ac:dyDescent="0.25">
      <c r="A6" s="84"/>
      <c r="B6" s="81">
        <v>46090</v>
      </c>
      <c r="C6" s="25" t="s">
        <v>106</v>
      </c>
      <c r="D6" s="85" t="s">
        <v>105</v>
      </c>
      <c r="G6" s="93"/>
      <c r="K6" s="91"/>
    </row>
    <row r="7" spans="1:11" x14ac:dyDescent="0.25">
      <c r="A7" s="84"/>
      <c r="D7" s="85"/>
      <c r="E7" s="81">
        <v>46121</v>
      </c>
      <c r="F7" s="25" t="s">
        <v>115</v>
      </c>
      <c r="G7" s="93"/>
      <c r="H7" t="s">
        <v>108</v>
      </c>
      <c r="I7" t="s">
        <v>110</v>
      </c>
      <c r="K7" s="91"/>
    </row>
    <row r="8" spans="1:11" x14ac:dyDescent="0.25">
      <c r="A8" s="84"/>
      <c r="B8" s="81">
        <v>46090</v>
      </c>
      <c r="C8" s="25" t="s">
        <v>106</v>
      </c>
      <c r="D8" s="85" t="s">
        <v>107</v>
      </c>
      <c r="E8" s="81">
        <v>46121</v>
      </c>
      <c r="F8" s="25" t="s">
        <v>115</v>
      </c>
      <c r="G8" s="93"/>
      <c r="H8" t="s">
        <v>111</v>
      </c>
      <c r="I8" t="s">
        <v>110</v>
      </c>
      <c r="K8" s="91"/>
    </row>
    <row r="9" spans="1:11" x14ac:dyDescent="0.25">
      <c r="A9" s="84"/>
      <c r="D9" s="85"/>
      <c r="G9" s="93"/>
      <c r="K9" s="91"/>
    </row>
    <row r="10" spans="1:11" x14ac:dyDescent="0.25">
      <c r="A10" s="84"/>
      <c r="D10" s="85"/>
      <c r="G10" s="93"/>
      <c r="K10" s="91"/>
    </row>
    <row r="11" spans="1:11" x14ac:dyDescent="0.25">
      <c r="A11" s="84"/>
      <c r="D11" s="85"/>
      <c r="E11" s="81">
        <v>46121</v>
      </c>
      <c r="F11" s="25" t="s">
        <v>95</v>
      </c>
      <c r="G11" s="93"/>
      <c r="H11" s="96" t="s">
        <v>112</v>
      </c>
      <c r="I11" t="s">
        <v>110</v>
      </c>
      <c r="K11" s="91"/>
    </row>
    <row r="12" spans="1:11" x14ac:dyDescent="0.25">
      <c r="A12" s="84"/>
      <c r="D12" s="85"/>
      <c r="G12" s="93"/>
      <c r="H12" t="s">
        <v>113</v>
      </c>
      <c r="I12" t="s">
        <v>110</v>
      </c>
      <c r="J12" t="s">
        <v>114</v>
      </c>
      <c r="K12" s="91"/>
    </row>
    <row r="13" spans="1:11" ht="15.75" thickBot="1" x14ac:dyDescent="0.3">
      <c r="A13" s="86"/>
      <c r="B13" s="44"/>
      <c r="C13" s="44"/>
      <c r="D13" s="87"/>
      <c r="G13" s="93"/>
      <c r="K13" s="91"/>
    </row>
    <row r="14" spans="1:11" ht="15.75" thickBot="1" x14ac:dyDescent="0.3">
      <c r="G14" s="94"/>
      <c r="H14" s="95"/>
      <c r="I14" s="95"/>
      <c r="J14" s="95"/>
      <c r="K14" s="92"/>
    </row>
  </sheetData>
  <mergeCells count="1">
    <mergeCell ref="H3:J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C220-D127-489B-A05F-24B39A2383B1}">
  <sheetPr>
    <tabColor rgb="FFFF0000"/>
  </sheetPr>
  <dimension ref="B1:D18"/>
  <sheetViews>
    <sheetView workbookViewId="0">
      <selection activeCell="B4" sqref="B4:C8"/>
    </sheetView>
  </sheetViews>
  <sheetFormatPr defaultRowHeight="15" x14ac:dyDescent="0.25"/>
  <cols>
    <col min="2" max="2" width="18.7109375" bestFit="1" customWidth="1"/>
    <col min="3" max="3" width="58.140625" customWidth="1"/>
  </cols>
  <sheetData>
    <row r="1" spans="2:4" ht="15.75" thickBot="1" x14ac:dyDescent="0.3">
      <c r="B1" s="107" t="s">
        <v>140</v>
      </c>
    </row>
    <row r="4" spans="2:4" x14ac:dyDescent="0.25">
      <c r="B4" s="78" t="s">
        <v>139</v>
      </c>
      <c r="C4" t="s">
        <v>129</v>
      </c>
    </row>
    <row r="5" spans="2:4" x14ac:dyDescent="0.25">
      <c r="B5" s="78" t="s">
        <v>139</v>
      </c>
      <c r="C5" t="s">
        <v>132</v>
      </c>
      <c r="D5" t="s">
        <v>137</v>
      </c>
    </row>
    <row r="6" spans="2:4" x14ac:dyDescent="0.25">
      <c r="B6" s="78" t="s">
        <v>139</v>
      </c>
      <c r="C6" t="s">
        <v>134</v>
      </c>
      <c r="D6" t="s">
        <v>137</v>
      </c>
    </row>
    <row r="7" spans="2:4" x14ac:dyDescent="0.25">
      <c r="B7" s="78" t="s">
        <v>139</v>
      </c>
      <c r="C7" t="s">
        <v>130</v>
      </c>
      <c r="D7" t="s">
        <v>137</v>
      </c>
    </row>
    <row r="8" spans="2:4" x14ac:dyDescent="0.25">
      <c r="B8" s="78" t="s">
        <v>139</v>
      </c>
      <c r="C8" t="s">
        <v>126</v>
      </c>
      <c r="D8" t="s">
        <v>137</v>
      </c>
    </row>
    <row r="10" spans="2:4" x14ac:dyDescent="0.25">
      <c r="B10" s="78" t="s">
        <v>139</v>
      </c>
      <c r="C10" t="s">
        <v>128</v>
      </c>
      <c r="D10" t="s">
        <v>137</v>
      </c>
    </row>
    <row r="11" spans="2:4" x14ac:dyDescent="0.25">
      <c r="B11" s="78" t="s">
        <v>139</v>
      </c>
      <c r="C11" t="s">
        <v>131</v>
      </c>
      <c r="D11" t="s">
        <v>137</v>
      </c>
    </row>
    <row r="12" spans="2:4" x14ac:dyDescent="0.25">
      <c r="B12" s="78" t="s">
        <v>139</v>
      </c>
      <c r="C12" t="s">
        <v>138</v>
      </c>
      <c r="D12" t="s">
        <v>137</v>
      </c>
    </row>
    <row r="13" spans="2:4" x14ac:dyDescent="0.25">
      <c r="B13" s="78" t="s">
        <v>139</v>
      </c>
      <c r="C13" t="s">
        <v>135</v>
      </c>
      <c r="D13" t="s">
        <v>137</v>
      </c>
    </row>
    <row r="14" spans="2:4" x14ac:dyDescent="0.25">
      <c r="B14" s="78" t="s">
        <v>139</v>
      </c>
      <c r="C14" t="s">
        <v>133</v>
      </c>
      <c r="D14" t="s">
        <v>137</v>
      </c>
    </row>
    <row r="15" spans="2:4" x14ac:dyDescent="0.25">
      <c r="B15" s="78" t="s">
        <v>139</v>
      </c>
      <c r="C15" t="s">
        <v>136</v>
      </c>
      <c r="D15" t="s">
        <v>137</v>
      </c>
    </row>
    <row r="16" spans="2:4" x14ac:dyDescent="0.25">
      <c r="B16" s="78" t="s">
        <v>139</v>
      </c>
      <c r="C16" t="s">
        <v>127</v>
      </c>
      <c r="D16" t="s">
        <v>137</v>
      </c>
    </row>
    <row r="18" ht="21" customHeight="1" x14ac:dyDescent="0.25"/>
  </sheetData>
  <sortState xmlns:xlrd2="http://schemas.microsoft.com/office/spreadsheetml/2017/richdata2" ref="C4:C27">
    <sortCondition ref="C1:C27"/>
  </sortState>
  <conditionalFormatting sqref="C1:C1048576">
    <cfRule type="duplicateValues" dxfId="7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46C7F-8851-4D1E-AAA5-68FB05373326}">
  <sheetPr>
    <tabColor rgb="FFFF0000"/>
  </sheetPr>
  <dimension ref="A2:L22"/>
  <sheetViews>
    <sheetView workbookViewId="0">
      <selection activeCell="F19" sqref="F19:F21"/>
    </sheetView>
  </sheetViews>
  <sheetFormatPr defaultRowHeight="15" x14ac:dyDescent="0.25"/>
  <cols>
    <col min="3" max="3" width="52.28515625" bestFit="1" customWidth="1"/>
    <col min="5" max="5" width="15.7109375" bestFit="1" customWidth="1"/>
    <col min="6" max="6" width="56.5703125" bestFit="1" customWidth="1"/>
  </cols>
  <sheetData>
    <row r="2" spans="1:12" ht="15.75" thickBot="1" x14ac:dyDescent="0.3"/>
    <row r="3" spans="1:12" ht="15.75" thickBot="1" x14ac:dyDescent="0.3">
      <c r="A3" s="103"/>
      <c r="B3" s="89" t="s">
        <v>102</v>
      </c>
      <c r="C3" s="83" t="s">
        <v>116</v>
      </c>
      <c r="F3" s="131" t="s">
        <v>120</v>
      </c>
      <c r="G3" s="131"/>
      <c r="H3" s="131"/>
      <c r="I3" s="131"/>
      <c r="J3" s="131"/>
      <c r="K3" s="131"/>
      <c r="L3" s="131"/>
    </row>
    <row r="4" spans="1:12" ht="15.75" thickBot="1" x14ac:dyDescent="0.3">
      <c r="A4" s="101"/>
      <c r="B4" s="89" t="s">
        <v>102</v>
      </c>
      <c r="C4" s="85" t="s">
        <v>117</v>
      </c>
    </row>
    <row r="5" spans="1:12" x14ac:dyDescent="0.25">
      <c r="A5" s="101"/>
      <c r="B5" s="102"/>
      <c r="C5" s="100"/>
      <c r="E5" s="82"/>
      <c r="F5" s="83"/>
    </row>
    <row r="6" spans="1:12" x14ac:dyDescent="0.25">
      <c r="A6" s="101"/>
      <c r="B6" s="25"/>
      <c r="C6" s="98" t="s">
        <v>118</v>
      </c>
      <c r="E6" s="93" t="s">
        <v>122</v>
      </c>
      <c r="F6" s="85" t="s">
        <v>63</v>
      </c>
    </row>
    <row r="7" spans="1:12" x14ac:dyDescent="0.25">
      <c r="A7" s="101"/>
      <c r="B7" s="102"/>
      <c r="C7" s="100"/>
      <c r="E7" s="93" t="s">
        <v>122</v>
      </c>
      <c r="F7" s="85" t="s">
        <v>121</v>
      </c>
    </row>
    <row r="8" spans="1:12" ht="15.75" thickBot="1" x14ac:dyDescent="0.3">
      <c r="A8" s="101"/>
      <c r="B8" s="102"/>
      <c r="C8" s="100"/>
      <c r="E8" s="86"/>
      <c r="F8" s="87"/>
    </row>
    <row r="9" spans="1:12" x14ac:dyDescent="0.25">
      <c r="A9" s="101"/>
      <c r="B9" s="25" t="s">
        <v>95</v>
      </c>
      <c r="C9" s="85" t="s">
        <v>119</v>
      </c>
    </row>
    <row r="10" spans="1:12" x14ac:dyDescent="0.25">
      <c r="A10" s="101"/>
      <c r="B10" s="25" t="s">
        <v>95</v>
      </c>
      <c r="C10" s="99" t="s">
        <v>112</v>
      </c>
    </row>
    <row r="11" spans="1:12" ht="15.75" thickBot="1" x14ac:dyDescent="0.3">
      <c r="A11" s="104"/>
      <c r="B11" s="105"/>
      <c r="C11" s="106"/>
    </row>
    <row r="17" spans="4:6" ht="15.75" thickBot="1" x14ac:dyDescent="0.3"/>
    <row r="18" spans="4:6" x14ac:dyDescent="0.25">
      <c r="D18" s="82"/>
      <c r="E18" s="36"/>
      <c r="F18" s="83"/>
    </row>
    <row r="19" spans="4:6" x14ac:dyDescent="0.25">
      <c r="D19" s="84"/>
      <c r="E19" s="93" t="s">
        <v>125</v>
      </c>
      <c r="F19" s="85" t="s">
        <v>112</v>
      </c>
    </row>
    <row r="20" spans="4:6" x14ac:dyDescent="0.25">
      <c r="D20" s="84"/>
      <c r="E20" s="93" t="s">
        <v>125</v>
      </c>
      <c r="F20" s="85" t="s">
        <v>111</v>
      </c>
    </row>
    <row r="21" spans="4:6" x14ac:dyDescent="0.25">
      <c r="D21" s="84"/>
      <c r="E21" s="93" t="s">
        <v>125</v>
      </c>
      <c r="F21" s="85" t="s">
        <v>113</v>
      </c>
    </row>
    <row r="22" spans="4:6" ht="15.75" thickBot="1" x14ac:dyDescent="0.3">
      <c r="D22" s="86"/>
      <c r="E22" s="44"/>
      <c r="F22" s="87"/>
    </row>
  </sheetData>
  <mergeCells count="1">
    <mergeCell ref="F3:L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5BD9-58CC-4CDF-864D-5941A765C906}">
  <sheetPr>
    <tabColor rgb="FFFFFF00"/>
  </sheetPr>
  <dimension ref="A1:Q53"/>
  <sheetViews>
    <sheetView tabSelected="1" workbookViewId="0">
      <selection activeCell="B13" sqref="B13"/>
    </sheetView>
  </sheetViews>
  <sheetFormatPr defaultRowHeight="15" x14ac:dyDescent="0.25"/>
  <cols>
    <col min="2" max="2" width="49.140625" customWidth="1"/>
    <col min="3" max="3" width="13.140625" bestFit="1" customWidth="1"/>
    <col min="5" max="5" width="2.7109375" customWidth="1"/>
    <col min="6" max="6" width="2.85546875" customWidth="1"/>
    <col min="7" max="7" width="4" customWidth="1"/>
    <col min="8" max="8" width="2.42578125" customWidth="1"/>
    <col min="9" max="9" width="56.140625" customWidth="1"/>
    <col min="10" max="10" width="9.140625" customWidth="1"/>
    <col min="11" max="11" width="19.85546875" customWidth="1"/>
    <col min="12" max="12" width="9.140625" customWidth="1"/>
  </cols>
  <sheetData>
    <row r="1" spans="1:17" ht="15" customHeight="1" x14ac:dyDescent="0.25">
      <c r="A1" s="143" t="s">
        <v>155</v>
      </c>
      <c r="B1" s="144"/>
      <c r="C1" s="144"/>
      <c r="D1" s="144"/>
      <c r="E1" s="144"/>
      <c r="F1" s="145"/>
      <c r="G1" s="146" t="s">
        <v>156</v>
      </c>
      <c r="H1" s="147"/>
      <c r="I1" s="147"/>
      <c r="J1" s="147"/>
      <c r="K1" s="147"/>
      <c r="L1" s="147"/>
      <c r="M1" s="147"/>
      <c r="N1" s="147"/>
      <c r="O1" s="147"/>
      <c r="P1" s="147"/>
      <c r="Q1" s="148"/>
    </row>
    <row r="2" spans="1:17" ht="15" customHeight="1" thickBot="1" x14ac:dyDescent="0.3">
      <c r="A2" s="149"/>
      <c r="B2" s="150"/>
      <c r="C2" s="150"/>
      <c r="D2" s="150"/>
      <c r="E2" s="150"/>
      <c r="F2" s="151"/>
      <c r="G2" s="152"/>
      <c r="H2" s="153"/>
      <c r="I2" s="153"/>
      <c r="J2" s="153"/>
      <c r="K2" s="153"/>
      <c r="L2" s="153"/>
      <c r="M2" s="153"/>
      <c r="N2" s="153"/>
      <c r="O2" s="153"/>
      <c r="P2" s="153"/>
      <c r="Q2" s="154"/>
    </row>
    <row r="3" spans="1:17" x14ac:dyDescent="0.25">
      <c r="A3" s="84"/>
      <c r="B3" s="142"/>
      <c r="C3" s="142"/>
      <c r="D3" s="142"/>
      <c r="E3" s="142"/>
      <c r="F3" s="85"/>
      <c r="G3" s="84"/>
      <c r="H3" s="142"/>
      <c r="I3" s="142"/>
      <c r="J3" s="142"/>
      <c r="K3" s="142" t="s">
        <v>157</v>
      </c>
      <c r="L3" s="142"/>
      <c r="M3" s="142"/>
      <c r="N3" s="142"/>
      <c r="O3" s="142"/>
      <c r="P3" s="142"/>
      <c r="Q3" s="85"/>
    </row>
    <row r="4" spans="1:17" x14ac:dyDescent="0.25">
      <c r="A4" s="84"/>
      <c r="B4" s="142" t="s">
        <v>15</v>
      </c>
      <c r="C4" s="142"/>
      <c r="D4" s="142"/>
      <c r="E4" s="142"/>
      <c r="F4" s="85"/>
      <c r="G4" s="84" t="s">
        <v>137</v>
      </c>
      <c r="H4" s="142"/>
      <c r="I4" s="155" t="s">
        <v>144</v>
      </c>
      <c r="J4" s="142"/>
      <c r="K4" s="142"/>
      <c r="L4" s="142"/>
      <c r="M4" s="142"/>
      <c r="N4" s="142"/>
      <c r="O4" s="142"/>
      <c r="P4" s="142"/>
      <c r="Q4" s="85"/>
    </row>
    <row r="5" spans="1:17" x14ac:dyDescent="0.25">
      <c r="A5" s="84"/>
      <c r="B5" s="142" t="s">
        <v>160</v>
      </c>
      <c r="C5" s="142" t="s">
        <v>161</v>
      </c>
      <c r="D5" s="142"/>
      <c r="E5" s="142"/>
      <c r="F5" s="85"/>
      <c r="G5" s="84" t="s">
        <v>137</v>
      </c>
      <c r="H5" s="142"/>
      <c r="I5" s="155" t="s">
        <v>146</v>
      </c>
      <c r="J5" s="142"/>
      <c r="K5" s="142"/>
      <c r="L5" s="142"/>
      <c r="M5" s="142"/>
      <c r="N5" s="142"/>
      <c r="O5" s="142"/>
      <c r="P5" s="142"/>
      <c r="Q5" s="85"/>
    </row>
    <row r="6" spans="1:17" x14ac:dyDescent="0.25">
      <c r="A6" s="84"/>
      <c r="B6" s="142" t="s">
        <v>17</v>
      </c>
      <c r="C6" s="142"/>
      <c r="D6" s="142"/>
      <c r="E6" s="142"/>
      <c r="F6" s="85"/>
      <c r="G6" s="84" t="s">
        <v>137</v>
      </c>
      <c r="H6" s="142"/>
      <c r="I6" s="155" t="s">
        <v>147</v>
      </c>
      <c r="J6" s="142"/>
      <c r="K6" s="142"/>
      <c r="L6" s="142"/>
      <c r="M6" s="142"/>
      <c r="N6" s="142"/>
      <c r="O6" s="142"/>
      <c r="P6" s="142"/>
      <c r="Q6" s="85"/>
    </row>
    <row r="7" spans="1:17" x14ac:dyDescent="0.25">
      <c r="A7" s="84"/>
      <c r="B7" s="142" t="s">
        <v>16</v>
      </c>
      <c r="C7" s="142"/>
      <c r="D7" s="142"/>
      <c r="E7" s="142"/>
      <c r="F7" s="85"/>
      <c r="G7" s="84"/>
      <c r="H7" s="142"/>
      <c r="I7" s="142"/>
      <c r="J7" s="142"/>
      <c r="K7" s="142"/>
      <c r="L7" s="142"/>
      <c r="M7" s="142"/>
      <c r="N7" s="142"/>
      <c r="O7" s="142"/>
      <c r="P7" s="142"/>
      <c r="Q7" s="85"/>
    </row>
    <row r="8" spans="1:17" x14ac:dyDescent="0.25">
      <c r="A8" s="84"/>
      <c r="B8" s="142"/>
      <c r="C8" s="142"/>
      <c r="D8" s="142"/>
      <c r="E8" s="142"/>
      <c r="F8" s="85"/>
      <c r="G8" s="84" t="s">
        <v>137</v>
      </c>
      <c r="H8" s="142"/>
      <c r="I8" s="142" t="s">
        <v>63</v>
      </c>
      <c r="J8" s="142"/>
      <c r="K8" s="142" t="s">
        <v>158</v>
      </c>
      <c r="L8" s="142"/>
      <c r="M8" s="142"/>
      <c r="N8" s="142"/>
      <c r="O8" s="142"/>
      <c r="P8" s="142"/>
      <c r="Q8" s="85"/>
    </row>
    <row r="9" spans="1:17" x14ac:dyDescent="0.25">
      <c r="A9" s="84"/>
      <c r="B9" s="142" t="s">
        <v>97</v>
      </c>
      <c r="C9" s="142"/>
      <c r="D9" s="142"/>
      <c r="E9" s="142"/>
      <c r="F9" s="85"/>
      <c r="G9" s="84" t="s">
        <v>137</v>
      </c>
      <c r="H9" s="142"/>
      <c r="I9" s="142" t="s">
        <v>124</v>
      </c>
      <c r="J9" s="142"/>
      <c r="K9" s="142" t="s">
        <v>159</v>
      </c>
      <c r="L9" s="142"/>
      <c r="M9" s="142"/>
      <c r="N9" s="142"/>
      <c r="O9" s="142"/>
      <c r="P9" s="142"/>
      <c r="Q9" s="85"/>
    </row>
    <row r="10" spans="1:17" x14ac:dyDescent="0.25">
      <c r="A10" s="84"/>
      <c r="B10" s="142" t="s">
        <v>98</v>
      </c>
      <c r="C10" s="142"/>
      <c r="D10" s="142"/>
      <c r="E10" s="142"/>
      <c r="F10" s="85"/>
      <c r="G10" s="84"/>
      <c r="H10" s="142"/>
      <c r="I10" s="142"/>
      <c r="J10" s="142"/>
      <c r="K10" s="142"/>
      <c r="L10" s="142"/>
      <c r="M10" s="142"/>
      <c r="N10" s="142"/>
      <c r="O10" s="142"/>
      <c r="P10" s="142"/>
      <c r="Q10" s="85"/>
    </row>
    <row r="11" spans="1:17" x14ac:dyDescent="0.25">
      <c r="A11" s="84"/>
      <c r="B11" s="142" t="s">
        <v>154</v>
      </c>
      <c r="C11" s="142"/>
      <c r="D11" s="142"/>
      <c r="E11" s="142"/>
      <c r="F11" s="85"/>
      <c r="G11" s="84"/>
      <c r="H11" s="142"/>
      <c r="I11" s="142"/>
      <c r="J11" s="142"/>
      <c r="K11" s="142"/>
      <c r="L11" s="142"/>
      <c r="M11" s="142"/>
      <c r="N11" s="142"/>
      <c r="O11" s="142"/>
      <c r="P11" s="142"/>
      <c r="Q11" s="85"/>
    </row>
    <row r="12" spans="1:17" x14ac:dyDescent="0.25">
      <c r="A12" s="84"/>
      <c r="B12" s="142"/>
      <c r="C12" s="142"/>
      <c r="D12" s="142"/>
      <c r="E12" s="142"/>
      <c r="F12" s="85"/>
      <c r="G12" s="84"/>
      <c r="H12" s="142"/>
      <c r="I12" s="142"/>
      <c r="J12" s="142"/>
      <c r="K12" s="142"/>
      <c r="L12" s="142"/>
      <c r="M12" s="142"/>
      <c r="N12" s="142"/>
      <c r="O12" s="142"/>
      <c r="P12" s="142"/>
      <c r="Q12" s="85"/>
    </row>
    <row r="13" spans="1:17" x14ac:dyDescent="0.25">
      <c r="A13" s="84"/>
      <c r="C13" s="142"/>
      <c r="D13" s="142"/>
      <c r="E13" s="142"/>
      <c r="F13" s="85"/>
      <c r="G13" s="84"/>
      <c r="H13" s="142"/>
      <c r="I13" s="142"/>
      <c r="J13" s="142"/>
      <c r="K13" s="142"/>
      <c r="L13" s="142"/>
      <c r="M13" s="142"/>
      <c r="N13" s="142"/>
      <c r="O13" s="142"/>
      <c r="P13" s="142"/>
      <c r="Q13" s="85"/>
    </row>
    <row r="14" spans="1:17" x14ac:dyDescent="0.25">
      <c r="A14" s="84"/>
      <c r="C14" s="142"/>
      <c r="D14" s="142"/>
      <c r="E14" s="142"/>
      <c r="F14" s="85"/>
      <c r="G14" s="84"/>
      <c r="H14" s="142"/>
      <c r="I14" s="142"/>
      <c r="J14" s="142"/>
      <c r="K14" s="142"/>
      <c r="L14" s="142"/>
      <c r="M14" s="142"/>
      <c r="N14" s="142"/>
      <c r="O14" s="142"/>
      <c r="P14" s="142"/>
      <c r="Q14" s="85"/>
    </row>
    <row r="15" spans="1:17" x14ac:dyDescent="0.25">
      <c r="A15" s="84"/>
      <c r="B15" s="142"/>
      <c r="C15" s="142"/>
      <c r="D15" s="142"/>
      <c r="E15" s="142"/>
      <c r="F15" s="85"/>
      <c r="G15" s="84"/>
      <c r="H15" s="142"/>
      <c r="I15" s="142"/>
      <c r="J15" s="142"/>
      <c r="K15" s="142"/>
      <c r="L15" s="142"/>
      <c r="M15" s="142"/>
      <c r="N15" s="142"/>
      <c r="O15" s="142"/>
      <c r="P15" s="142"/>
      <c r="Q15" s="85"/>
    </row>
    <row r="16" spans="1:17" x14ac:dyDescent="0.25">
      <c r="A16" s="84"/>
      <c r="B16" s="142"/>
      <c r="C16" s="142"/>
      <c r="D16" s="142"/>
      <c r="E16" s="142"/>
      <c r="F16" s="85"/>
      <c r="G16" s="84"/>
      <c r="H16" s="142"/>
      <c r="I16" s="142"/>
      <c r="J16" s="142"/>
      <c r="K16" s="142"/>
      <c r="L16" s="142"/>
      <c r="M16" s="142"/>
      <c r="N16" s="142"/>
      <c r="O16" s="142"/>
      <c r="P16" s="142"/>
      <c r="Q16" s="85"/>
    </row>
    <row r="17" spans="1:17" x14ac:dyDescent="0.25">
      <c r="A17" s="84"/>
      <c r="B17" s="142"/>
      <c r="C17" s="142"/>
      <c r="D17" s="142"/>
      <c r="E17" s="142"/>
      <c r="F17" s="85"/>
      <c r="G17" s="84"/>
      <c r="H17" s="142"/>
      <c r="I17" s="142"/>
      <c r="J17" s="142"/>
      <c r="K17" s="142"/>
      <c r="L17" s="142"/>
      <c r="M17" s="142"/>
      <c r="N17" s="142"/>
      <c r="O17" s="142"/>
      <c r="P17" s="142"/>
      <c r="Q17" s="85"/>
    </row>
    <row r="18" spans="1:17" x14ac:dyDescent="0.25">
      <c r="A18" s="84"/>
      <c r="B18" s="142"/>
      <c r="C18" s="142"/>
      <c r="D18" s="142"/>
      <c r="E18" s="142"/>
      <c r="F18" s="85"/>
      <c r="G18" s="84"/>
      <c r="H18" s="142"/>
      <c r="I18" s="142"/>
      <c r="J18" s="142"/>
      <c r="K18" s="142"/>
      <c r="L18" s="142"/>
      <c r="M18" s="142"/>
      <c r="N18" s="142"/>
      <c r="O18" s="142"/>
      <c r="P18" s="142"/>
      <c r="Q18" s="85"/>
    </row>
    <row r="19" spans="1:17" x14ac:dyDescent="0.25">
      <c r="A19" s="84"/>
      <c r="B19" s="142"/>
      <c r="C19" s="142"/>
      <c r="D19" s="142"/>
      <c r="E19" s="142"/>
      <c r="F19" s="85"/>
      <c r="G19" s="84"/>
      <c r="H19" s="142"/>
      <c r="I19" s="142"/>
      <c r="J19" s="142"/>
      <c r="K19" s="142"/>
      <c r="L19" s="142"/>
      <c r="M19" s="142"/>
      <c r="N19" s="142"/>
      <c r="O19" s="142"/>
      <c r="P19" s="142"/>
      <c r="Q19" s="85"/>
    </row>
    <row r="20" spans="1:17" x14ac:dyDescent="0.25">
      <c r="A20" s="84"/>
      <c r="B20" s="142"/>
      <c r="C20" s="142"/>
      <c r="D20" s="142"/>
      <c r="E20" s="142"/>
      <c r="F20" s="85"/>
      <c r="G20" s="84"/>
      <c r="H20" s="142"/>
      <c r="I20" s="142"/>
      <c r="J20" s="142"/>
      <c r="K20" s="142"/>
      <c r="L20" s="142"/>
      <c r="M20" s="142"/>
      <c r="N20" s="142"/>
      <c r="O20" s="142"/>
      <c r="P20" s="142"/>
      <c r="Q20" s="85"/>
    </row>
    <row r="21" spans="1:17" x14ac:dyDescent="0.25">
      <c r="A21" s="84"/>
      <c r="B21" s="142"/>
      <c r="C21" s="142"/>
      <c r="D21" s="142"/>
      <c r="E21" s="142"/>
      <c r="F21" s="85"/>
      <c r="G21" s="84"/>
      <c r="H21" s="142"/>
      <c r="I21" s="142"/>
      <c r="J21" s="142"/>
      <c r="K21" s="142"/>
      <c r="L21" s="142"/>
      <c r="M21" s="142"/>
      <c r="N21" s="142"/>
      <c r="O21" s="142"/>
      <c r="P21" s="142"/>
      <c r="Q21" s="85"/>
    </row>
    <row r="22" spans="1:17" x14ac:dyDescent="0.25">
      <c r="A22" s="84"/>
      <c r="B22" s="142"/>
      <c r="C22" s="142"/>
      <c r="D22" s="142"/>
      <c r="E22" s="142"/>
      <c r="F22" s="85"/>
      <c r="G22" s="84"/>
      <c r="H22" s="142"/>
      <c r="I22" s="142"/>
      <c r="J22" s="142"/>
      <c r="K22" s="142"/>
      <c r="L22" s="142"/>
      <c r="M22" s="142"/>
      <c r="N22" s="142"/>
      <c r="O22" s="142"/>
      <c r="P22" s="142"/>
      <c r="Q22" s="85"/>
    </row>
    <row r="23" spans="1:17" x14ac:dyDescent="0.25">
      <c r="A23" s="84"/>
      <c r="B23" s="142"/>
      <c r="C23" s="142"/>
      <c r="D23" s="142"/>
      <c r="E23" s="142"/>
      <c r="F23" s="85"/>
      <c r="G23" s="84"/>
      <c r="H23" s="142"/>
      <c r="I23" s="142"/>
      <c r="J23" s="142"/>
      <c r="K23" s="142"/>
      <c r="L23" s="142"/>
      <c r="M23" s="142"/>
      <c r="N23" s="142"/>
      <c r="O23" s="142"/>
      <c r="P23" s="142"/>
      <c r="Q23" s="85"/>
    </row>
    <row r="24" spans="1:17" x14ac:dyDescent="0.25">
      <c r="A24" s="84"/>
      <c r="B24" s="142"/>
      <c r="C24" s="142"/>
      <c r="D24" s="142"/>
      <c r="E24" s="142"/>
      <c r="F24" s="85"/>
      <c r="G24" s="84"/>
      <c r="H24" s="142"/>
      <c r="I24" s="142"/>
      <c r="J24" s="142"/>
      <c r="K24" s="142"/>
      <c r="L24" s="142"/>
      <c r="M24" s="142"/>
      <c r="N24" s="142"/>
      <c r="O24" s="142"/>
      <c r="P24" s="142"/>
      <c r="Q24" s="85"/>
    </row>
    <row r="25" spans="1:17" x14ac:dyDescent="0.25">
      <c r="A25" s="84"/>
      <c r="B25" s="142"/>
      <c r="C25" s="142"/>
      <c r="D25" s="142"/>
      <c r="E25" s="142"/>
      <c r="F25" s="85"/>
      <c r="G25" s="84"/>
      <c r="H25" s="142"/>
      <c r="I25" s="142"/>
      <c r="J25" s="142"/>
      <c r="K25" s="142"/>
      <c r="L25" s="142"/>
      <c r="M25" s="142"/>
      <c r="N25" s="142"/>
      <c r="O25" s="142"/>
      <c r="P25" s="142"/>
      <c r="Q25" s="85"/>
    </row>
    <row r="26" spans="1:17" x14ac:dyDescent="0.25">
      <c r="A26" s="84"/>
      <c r="B26" s="142"/>
      <c r="C26" s="142"/>
      <c r="D26" s="142"/>
      <c r="E26" s="142"/>
      <c r="F26" s="85"/>
      <c r="G26" s="84"/>
      <c r="H26" s="142"/>
      <c r="I26" s="142"/>
      <c r="J26" s="142"/>
      <c r="K26" s="142"/>
      <c r="L26" s="142"/>
      <c r="M26" s="142"/>
      <c r="N26" s="142"/>
      <c r="O26" s="142"/>
      <c r="P26" s="142"/>
      <c r="Q26" s="85"/>
    </row>
    <row r="27" spans="1:17" x14ac:dyDescent="0.25">
      <c r="A27" s="84"/>
      <c r="B27" s="142"/>
      <c r="C27" s="142"/>
      <c r="D27" s="142"/>
      <c r="E27" s="142"/>
      <c r="F27" s="85"/>
      <c r="G27" s="84"/>
      <c r="H27" s="142"/>
      <c r="I27" s="142"/>
      <c r="J27" s="142"/>
      <c r="K27" s="142"/>
      <c r="L27" s="142"/>
      <c r="M27" s="142"/>
      <c r="N27" s="142"/>
      <c r="O27" s="142"/>
      <c r="P27" s="142"/>
      <c r="Q27" s="85"/>
    </row>
    <row r="28" spans="1:17" x14ac:dyDescent="0.25">
      <c r="A28" s="84"/>
      <c r="B28" s="142"/>
      <c r="C28" s="142"/>
      <c r="D28" s="142"/>
      <c r="E28" s="142"/>
      <c r="F28" s="85"/>
      <c r="G28" s="84"/>
      <c r="H28" s="142"/>
      <c r="I28" s="142"/>
      <c r="J28" s="142"/>
      <c r="K28" s="142"/>
      <c r="L28" s="142"/>
      <c r="M28" s="142"/>
      <c r="N28" s="142"/>
      <c r="O28" s="142"/>
      <c r="P28" s="142"/>
      <c r="Q28" s="85"/>
    </row>
    <row r="29" spans="1:17" x14ac:dyDescent="0.25">
      <c r="A29" s="84"/>
      <c r="B29" s="142"/>
      <c r="C29" s="142"/>
      <c r="D29" s="142"/>
      <c r="E29" s="142"/>
      <c r="F29" s="85"/>
      <c r="G29" s="84"/>
      <c r="H29" s="142"/>
      <c r="I29" s="142"/>
      <c r="J29" s="142"/>
      <c r="K29" s="142"/>
      <c r="L29" s="142"/>
      <c r="M29" s="142"/>
      <c r="N29" s="142"/>
      <c r="O29" s="142"/>
      <c r="P29" s="142"/>
      <c r="Q29" s="85"/>
    </row>
    <row r="30" spans="1:17" x14ac:dyDescent="0.25">
      <c r="A30" s="84"/>
      <c r="B30" s="142"/>
      <c r="C30" s="142"/>
      <c r="D30" s="142"/>
      <c r="E30" s="142"/>
      <c r="F30" s="85"/>
      <c r="G30" s="84"/>
      <c r="H30" s="142"/>
      <c r="I30" s="142"/>
      <c r="J30" s="142"/>
      <c r="K30" s="142"/>
      <c r="L30" s="142"/>
      <c r="M30" s="142"/>
      <c r="N30" s="142"/>
      <c r="O30" s="142"/>
      <c r="P30" s="142"/>
      <c r="Q30" s="85"/>
    </row>
    <row r="31" spans="1:17" x14ac:dyDescent="0.25">
      <c r="A31" s="84"/>
      <c r="B31" s="142"/>
      <c r="C31" s="142"/>
      <c r="D31" s="142"/>
      <c r="E31" s="142"/>
      <c r="F31" s="85"/>
      <c r="G31" s="84"/>
      <c r="H31" s="142"/>
      <c r="I31" s="142"/>
      <c r="J31" s="142"/>
      <c r="K31" s="142"/>
      <c r="L31" s="142"/>
      <c r="M31" s="142"/>
      <c r="N31" s="142"/>
      <c r="O31" s="142"/>
      <c r="P31" s="142"/>
      <c r="Q31" s="85"/>
    </row>
    <row r="32" spans="1:17" x14ac:dyDescent="0.25">
      <c r="A32" s="84"/>
      <c r="B32" s="142"/>
      <c r="C32" s="142"/>
      <c r="D32" s="142"/>
      <c r="E32" s="142"/>
      <c r="F32" s="85"/>
      <c r="G32" s="84"/>
      <c r="H32" s="142"/>
      <c r="I32" s="142"/>
      <c r="J32" s="142"/>
      <c r="K32" s="142"/>
      <c r="L32" s="142"/>
      <c r="M32" s="142"/>
      <c r="N32" s="142"/>
      <c r="O32" s="142"/>
      <c r="P32" s="142"/>
      <c r="Q32" s="85"/>
    </row>
    <row r="33" spans="1:17" x14ac:dyDescent="0.25">
      <c r="A33" s="84"/>
      <c r="B33" s="142"/>
      <c r="C33" s="142"/>
      <c r="D33" s="142"/>
      <c r="E33" s="142"/>
      <c r="F33" s="85"/>
      <c r="G33" s="84"/>
      <c r="H33" s="142"/>
      <c r="I33" s="142"/>
      <c r="J33" s="142"/>
      <c r="K33" s="142"/>
      <c r="L33" s="142"/>
      <c r="M33" s="142"/>
      <c r="N33" s="142"/>
      <c r="O33" s="142"/>
      <c r="P33" s="142"/>
      <c r="Q33" s="85"/>
    </row>
    <row r="34" spans="1:17" x14ac:dyDescent="0.25">
      <c r="A34" s="84"/>
      <c r="B34" s="142"/>
      <c r="C34" s="142"/>
      <c r="D34" s="142"/>
      <c r="E34" s="142"/>
      <c r="F34" s="85"/>
      <c r="G34" s="84"/>
      <c r="H34" s="142"/>
      <c r="I34" s="142"/>
      <c r="J34" s="142"/>
      <c r="K34" s="142"/>
      <c r="L34" s="142"/>
      <c r="M34" s="142"/>
      <c r="N34" s="142"/>
      <c r="O34" s="142"/>
      <c r="P34" s="142"/>
      <c r="Q34" s="85"/>
    </row>
    <row r="35" spans="1:17" x14ac:dyDescent="0.25">
      <c r="A35" s="84"/>
      <c r="B35" s="142"/>
      <c r="C35" s="142"/>
      <c r="D35" s="142"/>
      <c r="E35" s="142"/>
      <c r="F35" s="85"/>
      <c r="G35" s="84"/>
      <c r="H35" s="142"/>
      <c r="I35" s="142"/>
      <c r="J35" s="142"/>
      <c r="K35" s="142"/>
      <c r="L35" s="142"/>
      <c r="M35" s="142"/>
      <c r="N35" s="142"/>
      <c r="O35" s="142"/>
      <c r="P35" s="142"/>
      <c r="Q35" s="85"/>
    </row>
    <row r="36" spans="1:17" x14ac:dyDescent="0.25">
      <c r="A36" s="84"/>
      <c r="B36" s="142"/>
      <c r="C36" s="142"/>
      <c r="D36" s="142"/>
      <c r="E36" s="142"/>
      <c r="F36" s="85"/>
      <c r="G36" s="84"/>
      <c r="H36" s="142"/>
      <c r="I36" s="142"/>
      <c r="J36" s="142"/>
      <c r="K36" s="142"/>
      <c r="L36" s="142"/>
      <c r="M36" s="142"/>
      <c r="N36" s="142"/>
      <c r="O36" s="142"/>
      <c r="P36" s="142"/>
      <c r="Q36" s="85"/>
    </row>
    <row r="37" spans="1:17" x14ac:dyDescent="0.25">
      <c r="A37" s="84"/>
      <c r="B37" s="142"/>
      <c r="C37" s="142"/>
      <c r="D37" s="142"/>
      <c r="E37" s="142"/>
      <c r="F37" s="85"/>
      <c r="G37" s="84"/>
      <c r="H37" s="142"/>
      <c r="I37" s="142"/>
      <c r="J37" s="142"/>
      <c r="K37" s="142"/>
      <c r="L37" s="142"/>
      <c r="M37" s="142"/>
      <c r="N37" s="142"/>
      <c r="O37" s="142"/>
      <c r="P37" s="142"/>
      <c r="Q37" s="85"/>
    </row>
    <row r="38" spans="1:17" x14ac:dyDescent="0.25">
      <c r="A38" s="84"/>
      <c r="B38" s="142"/>
      <c r="C38" s="142"/>
      <c r="D38" s="142"/>
      <c r="E38" s="142"/>
      <c r="F38" s="85"/>
      <c r="G38" s="84"/>
      <c r="H38" s="142"/>
      <c r="I38" s="142"/>
      <c r="J38" s="142"/>
      <c r="K38" s="142"/>
      <c r="L38" s="142"/>
      <c r="M38" s="142"/>
      <c r="N38" s="142"/>
      <c r="O38" s="142"/>
      <c r="P38" s="142"/>
      <c r="Q38" s="85"/>
    </row>
    <row r="39" spans="1:17" x14ac:dyDescent="0.25">
      <c r="A39" s="84"/>
      <c r="B39" s="142"/>
      <c r="C39" s="142"/>
      <c r="D39" s="142"/>
      <c r="E39" s="142"/>
      <c r="F39" s="85"/>
      <c r="G39" s="84"/>
      <c r="H39" s="142"/>
      <c r="I39" s="142"/>
      <c r="J39" s="142"/>
      <c r="K39" s="142"/>
      <c r="L39" s="142"/>
      <c r="M39" s="142"/>
      <c r="N39" s="142"/>
      <c r="O39" s="142"/>
      <c r="P39" s="142"/>
      <c r="Q39" s="85"/>
    </row>
    <row r="40" spans="1:17" x14ac:dyDescent="0.25">
      <c r="A40" s="84"/>
      <c r="B40" s="142"/>
      <c r="C40" s="142"/>
      <c r="D40" s="142"/>
      <c r="E40" s="142"/>
      <c r="F40" s="85"/>
      <c r="G40" s="84"/>
      <c r="H40" s="142"/>
      <c r="I40" s="142"/>
      <c r="J40" s="142"/>
      <c r="K40" s="142"/>
      <c r="L40" s="142"/>
      <c r="M40" s="142"/>
      <c r="N40" s="142"/>
      <c r="O40" s="142"/>
      <c r="P40" s="142"/>
      <c r="Q40" s="85"/>
    </row>
    <row r="41" spans="1:17" x14ac:dyDescent="0.25">
      <c r="A41" s="84"/>
      <c r="B41" s="142"/>
      <c r="C41" s="142"/>
      <c r="D41" s="142"/>
      <c r="E41" s="142"/>
      <c r="F41" s="85"/>
      <c r="G41" s="84"/>
      <c r="H41" s="142"/>
      <c r="I41" s="142"/>
      <c r="J41" s="142"/>
      <c r="K41" s="142"/>
      <c r="L41" s="142"/>
      <c r="M41" s="142"/>
      <c r="N41" s="142"/>
      <c r="O41" s="142"/>
      <c r="P41" s="142"/>
      <c r="Q41" s="85"/>
    </row>
    <row r="42" spans="1:17" x14ac:dyDescent="0.25">
      <c r="A42" s="84"/>
      <c r="B42" s="142"/>
      <c r="C42" s="142"/>
      <c r="D42" s="142"/>
      <c r="E42" s="142"/>
      <c r="F42" s="85"/>
      <c r="G42" s="84"/>
      <c r="H42" s="142"/>
      <c r="I42" s="142"/>
      <c r="J42" s="142"/>
      <c r="K42" s="142"/>
      <c r="L42" s="142"/>
      <c r="M42" s="142"/>
      <c r="N42" s="142"/>
      <c r="O42" s="142"/>
      <c r="P42" s="142"/>
      <c r="Q42" s="85"/>
    </row>
    <row r="43" spans="1:17" x14ac:dyDescent="0.25">
      <c r="A43" s="84"/>
      <c r="B43" s="142"/>
      <c r="C43" s="142"/>
      <c r="D43" s="142"/>
      <c r="E43" s="142"/>
      <c r="F43" s="85"/>
      <c r="G43" s="84"/>
      <c r="H43" s="142"/>
      <c r="I43" s="142"/>
      <c r="J43" s="142"/>
      <c r="K43" s="142"/>
      <c r="L43" s="142"/>
      <c r="M43" s="142"/>
      <c r="N43" s="142"/>
      <c r="O43" s="142"/>
      <c r="P43" s="142"/>
      <c r="Q43" s="85"/>
    </row>
    <row r="44" spans="1:17" x14ac:dyDescent="0.25">
      <c r="A44" s="84"/>
      <c r="B44" s="142"/>
      <c r="C44" s="142"/>
      <c r="D44" s="142"/>
      <c r="E44" s="142"/>
      <c r="F44" s="85"/>
      <c r="G44" s="84"/>
      <c r="H44" s="142"/>
      <c r="I44" s="142"/>
      <c r="J44" s="142"/>
      <c r="K44" s="142"/>
      <c r="L44" s="142"/>
      <c r="M44" s="142"/>
      <c r="N44" s="142"/>
      <c r="O44" s="142"/>
      <c r="P44" s="142"/>
      <c r="Q44" s="85"/>
    </row>
    <row r="45" spans="1:17" x14ac:dyDescent="0.25">
      <c r="A45" s="84"/>
      <c r="B45" s="142"/>
      <c r="C45" s="142"/>
      <c r="D45" s="142"/>
      <c r="E45" s="142"/>
      <c r="F45" s="85"/>
      <c r="G45" s="84"/>
      <c r="H45" s="142"/>
      <c r="I45" s="142"/>
      <c r="J45" s="142"/>
      <c r="K45" s="142"/>
      <c r="L45" s="142"/>
      <c r="M45" s="142"/>
      <c r="N45" s="142"/>
      <c r="O45" s="142"/>
      <c r="P45" s="142"/>
      <c r="Q45" s="85"/>
    </row>
    <row r="46" spans="1:17" x14ac:dyDescent="0.25">
      <c r="A46" s="84"/>
      <c r="B46" s="142"/>
      <c r="C46" s="142"/>
      <c r="D46" s="142"/>
      <c r="E46" s="142"/>
      <c r="F46" s="85"/>
      <c r="G46" s="84"/>
      <c r="H46" s="142"/>
      <c r="I46" s="142"/>
      <c r="J46" s="142"/>
      <c r="K46" s="142"/>
      <c r="L46" s="142"/>
      <c r="M46" s="142"/>
      <c r="N46" s="142"/>
      <c r="O46" s="142"/>
      <c r="P46" s="142"/>
      <c r="Q46" s="85"/>
    </row>
    <row r="47" spans="1:17" x14ac:dyDescent="0.25">
      <c r="A47" s="84"/>
      <c r="B47" s="142"/>
      <c r="C47" s="142"/>
      <c r="D47" s="142"/>
      <c r="E47" s="142"/>
      <c r="F47" s="85"/>
      <c r="G47" s="84"/>
      <c r="H47" s="142"/>
      <c r="I47" s="142"/>
      <c r="J47" s="142"/>
      <c r="K47" s="142"/>
      <c r="L47" s="142"/>
      <c r="M47" s="142"/>
      <c r="N47" s="142"/>
      <c r="O47" s="142"/>
      <c r="P47" s="142"/>
      <c r="Q47" s="85"/>
    </row>
    <row r="48" spans="1:17" x14ac:dyDescent="0.25">
      <c r="A48" s="84"/>
      <c r="B48" s="142"/>
      <c r="C48" s="142"/>
      <c r="D48" s="142"/>
      <c r="E48" s="142"/>
      <c r="F48" s="85"/>
      <c r="G48" s="84"/>
      <c r="H48" s="142"/>
      <c r="I48" s="142"/>
      <c r="J48" s="142"/>
      <c r="K48" s="142"/>
      <c r="L48" s="142"/>
      <c r="M48" s="142"/>
      <c r="N48" s="142"/>
      <c r="O48" s="142"/>
      <c r="P48" s="142"/>
      <c r="Q48" s="85"/>
    </row>
    <row r="49" spans="1:17" x14ac:dyDescent="0.25">
      <c r="A49" s="84"/>
      <c r="B49" s="142"/>
      <c r="C49" s="142"/>
      <c r="D49" s="142"/>
      <c r="E49" s="142"/>
      <c r="F49" s="85"/>
      <c r="G49" s="84"/>
      <c r="H49" s="142"/>
      <c r="I49" s="142"/>
      <c r="J49" s="142"/>
      <c r="K49" s="142"/>
      <c r="L49" s="142"/>
      <c r="M49" s="142"/>
      <c r="N49" s="142"/>
      <c r="O49" s="142"/>
      <c r="P49" s="142"/>
      <c r="Q49" s="85"/>
    </row>
    <row r="50" spans="1:17" x14ac:dyDescent="0.25">
      <c r="A50" s="84"/>
      <c r="B50" s="142"/>
      <c r="C50" s="142"/>
      <c r="D50" s="142"/>
      <c r="E50" s="142"/>
      <c r="F50" s="85"/>
      <c r="G50" s="84"/>
      <c r="H50" s="142"/>
      <c r="I50" s="142"/>
      <c r="J50" s="142"/>
      <c r="K50" s="142"/>
      <c r="L50" s="142"/>
      <c r="M50" s="142"/>
      <c r="N50" s="142"/>
      <c r="O50" s="142"/>
      <c r="P50" s="142"/>
      <c r="Q50" s="85"/>
    </row>
    <row r="51" spans="1:17" x14ac:dyDescent="0.25">
      <c r="A51" s="84"/>
      <c r="B51" s="142"/>
      <c r="C51" s="142"/>
      <c r="D51" s="142"/>
      <c r="E51" s="142"/>
      <c r="F51" s="85"/>
      <c r="G51" s="84"/>
      <c r="H51" s="142"/>
      <c r="I51" s="142"/>
      <c r="J51" s="142"/>
      <c r="K51" s="142"/>
      <c r="L51" s="142"/>
      <c r="M51" s="142"/>
      <c r="N51" s="142"/>
      <c r="O51" s="142"/>
      <c r="P51" s="142"/>
      <c r="Q51" s="85"/>
    </row>
    <row r="52" spans="1:17" x14ac:dyDescent="0.25">
      <c r="A52" s="84"/>
      <c r="B52" s="142"/>
      <c r="C52" s="142"/>
      <c r="D52" s="142"/>
      <c r="E52" s="142"/>
      <c r="F52" s="85"/>
      <c r="G52" s="84"/>
      <c r="H52" s="142"/>
      <c r="I52" s="142"/>
      <c r="J52" s="142"/>
      <c r="K52" s="142"/>
      <c r="L52" s="142"/>
      <c r="M52" s="142"/>
      <c r="N52" s="142"/>
      <c r="O52" s="142"/>
      <c r="P52" s="142"/>
      <c r="Q52" s="85"/>
    </row>
    <row r="53" spans="1:17" ht="15.75" thickBot="1" x14ac:dyDescent="0.3">
      <c r="A53" s="86"/>
      <c r="B53" s="44"/>
      <c r="C53" s="44"/>
      <c r="D53" s="44"/>
      <c r="E53" s="44"/>
      <c r="F53" s="87"/>
      <c r="G53" s="86"/>
      <c r="H53" s="44"/>
      <c r="I53" s="44"/>
      <c r="J53" s="44"/>
      <c r="K53" s="44"/>
      <c r="L53" s="44"/>
      <c r="M53" s="44"/>
      <c r="N53" s="44"/>
      <c r="O53" s="44"/>
      <c r="P53" s="44"/>
      <c r="Q53" s="87"/>
    </row>
  </sheetData>
  <mergeCells count="2">
    <mergeCell ref="A1:F2"/>
    <mergeCell ref="G1:Q2"/>
  </mergeCells>
  <phoneticPr fontId="14" type="noConversion"/>
  <conditionalFormatting sqref="B4:B11">
    <cfRule type="duplicateValues" dxfId="6" priority="5"/>
    <cfRule type="duplicateValues" dxfId="5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D792-2517-4CE8-8D18-28421B01A876}">
  <dimension ref="A2:N21"/>
  <sheetViews>
    <sheetView workbookViewId="0">
      <selection activeCell="D12" sqref="D12"/>
    </sheetView>
  </sheetViews>
  <sheetFormatPr defaultRowHeight="15" x14ac:dyDescent="0.25"/>
  <cols>
    <col min="2" max="2" width="54.7109375" bestFit="1" customWidth="1"/>
    <col min="9" max="9" width="30.42578125" customWidth="1"/>
  </cols>
  <sheetData>
    <row r="2" spans="1:14" x14ac:dyDescent="0.25">
      <c r="A2" s="132" t="s">
        <v>123</v>
      </c>
      <c r="B2" s="132"/>
      <c r="C2" s="132"/>
      <c r="D2" s="132"/>
      <c r="E2" s="132"/>
      <c r="F2" s="132"/>
    </row>
    <row r="4" spans="1:14" ht="15.75" thickBot="1" x14ac:dyDescent="0.3"/>
    <row r="5" spans="1:14" ht="13.5" customHeight="1" thickBot="1" x14ac:dyDescent="0.3">
      <c r="A5" s="82"/>
      <c r="B5" s="109" t="s">
        <v>148</v>
      </c>
      <c r="H5" s="82"/>
      <c r="I5" s="36"/>
      <c r="J5" s="36"/>
      <c r="K5" s="36"/>
      <c r="L5" s="36"/>
      <c r="M5" s="36"/>
      <c r="N5" s="83"/>
    </row>
    <row r="6" spans="1:14" ht="13.5" customHeight="1" x14ac:dyDescent="0.25">
      <c r="A6" s="84"/>
      <c r="B6" s="83" t="s">
        <v>63</v>
      </c>
      <c r="H6" s="84"/>
      <c r="I6" s="142"/>
      <c r="J6" s="142"/>
      <c r="K6" s="142"/>
      <c r="L6" s="142"/>
      <c r="M6" s="142"/>
      <c r="N6" s="85"/>
    </row>
    <row r="7" spans="1:14" x14ac:dyDescent="0.25">
      <c r="A7" s="84"/>
      <c r="B7" s="85" t="s">
        <v>124</v>
      </c>
      <c r="H7" s="84"/>
      <c r="I7" s="132" t="s">
        <v>143</v>
      </c>
      <c r="J7" s="132"/>
      <c r="K7" s="132"/>
      <c r="L7" s="132"/>
      <c r="M7" s="132"/>
      <c r="N7" s="133"/>
    </row>
    <row r="8" spans="1:14" ht="15.75" thickBot="1" x14ac:dyDescent="0.3">
      <c r="A8" s="86"/>
      <c r="B8" s="87"/>
      <c r="H8" s="84"/>
      <c r="N8" s="85"/>
    </row>
    <row r="9" spans="1:14" x14ac:dyDescent="0.25">
      <c r="A9" s="142"/>
      <c r="B9" s="142"/>
      <c r="H9" s="84"/>
      <c r="N9" s="85"/>
    </row>
    <row r="10" spans="1:14" x14ac:dyDescent="0.25">
      <c r="H10" s="84"/>
      <c r="I10" t="s">
        <v>141</v>
      </c>
      <c r="N10" s="85"/>
    </row>
    <row r="11" spans="1:14" x14ac:dyDescent="0.25">
      <c r="H11" s="84"/>
      <c r="I11" t="s">
        <v>142</v>
      </c>
      <c r="N11" s="85"/>
    </row>
    <row r="12" spans="1:14" ht="15.75" thickBot="1" x14ac:dyDescent="0.3">
      <c r="H12" s="86"/>
      <c r="I12" s="44"/>
      <c r="J12" s="44"/>
      <c r="K12" s="44"/>
      <c r="L12" s="44"/>
      <c r="M12" s="44"/>
      <c r="N12" s="87"/>
    </row>
    <row r="13" spans="1:14" ht="15.75" thickBot="1" x14ac:dyDescent="0.3">
      <c r="A13" s="82"/>
      <c r="B13" s="109" t="s">
        <v>148</v>
      </c>
    </row>
    <row r="14" spans="1:14" x14ac:dyDescent="0.25">
      <c r="A14" s="84"/>
      <c r="B14" s="85"/>
      <c r="H14" s="35" t="s">
        <v>149</v>
      </c>
      <c r="I14" s="110" t="s">
        <v>102</v>
      </c>
      <c r="J14" s="36"/>
      <c r="K14" s="36"/>
      <c r="L14" s="83"/>
    </row>
    <row r="15" spans="1:14" x14ac:dyDescent="0.25">
      <c r="A15" s="84"/>
      <c r="B15" s="108" t="s">
        <v>146</v>
      </c>
      <c r="H15" s="84"/>
      <c r="L15" s="85"/>
    </row>
    <row r="16" spans="1:14" x14ac:dyDescent="0.25">
      <c r="A16" s="84"/>
      <c r="B16" s="108" t="s">
        <v>147</v>
      </c>
      <c r="H16" s="84"/>
      <c r="I16" s="134" t="s">
        <v>145</v>
      </c>
      <c r="J16" s="134"/>
      <c r="K16" s="134"/>
      <c r="L16" s="135"/>
    </row>
    <row r="17" spans="1:12" x14ac:dyDescent="0.25">
      <c r="A17" s="84"/>
      <c r="B17" s="85"/>
      <c r="H17" s="84"/>
      <c r="L17" s="85"/>
    </row>
    <row r="18" spans="1:12" ht="15.75" thickBot="1" x14ac:dyDescent="0.3">
      <c r="A18" s="86"/>
      <c r="B18" s="87"/>
      <c r="H18" s="84"/>
      <c r="I18" t="s">
        <v>144</v>
      </c>
      <c r="L18" s="85"/>
    </row>
    <row r="19" spans="1:12" x14ac:dyDescent="0.25">
      <c r="H19" s="84"/>
      <c r="L19" s="85"/>
    </row>
    <row r="20" spans="1:12" x14ac:dyDescent="0.25">
      <c r="H20" s="84"/>
      <c r="L20" s="85"/>
    </row>
    <row r="21" spans="1:12" ht="15.75" thickBot="1" x14ac:dyDescent="0.3">
      <c r="H21" s="86"/>
      <c r="I21" s="44"/>
      <c r="J21" s="44"/>
      <c r="K21" s="44"/>
      <c r="L21" s="87"/>
    </row>
  </sheetData>
  <mergeCells count="3">
    <mergeCell ref="A2:F2"/>
    <mergeCell ref="I7:N7"/>
    <mergeCell ref="I16:L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123E-1D13-46F0-9B4A-A5272E85634C}">
  <dimension ref="A1:K18"/>
  <sheetViews>
    <sheetView workbookViewId="0">
      <selection activeCell="E12" sqref="E12"/>
    </sheetView>
  </sheetViews>
  <sheetFormatPr defaultRowHeight="15" x14ac:dyDescent="0.25"/>
  <cols>
    <col min="1" max="1" width="18" customWidth="1"/>
    <col min="4" max="4" width="48" bestFit="1" customWidth="1"/>
    <col min="5" max="5" width="21.5703125" bestFit="1" customWidth="1"/>
    <col min="8" max="9" width="2.140625" customWidth="1"/>
    <col min="10" max="10" width="37.140625" bestFit="1" customWidth="1"/>
    <col min="11" max="11" width="21.5703125" bestFit="1" customWidth="1"/>
  </cols>
  <sheetData>
    <row r="1" spans="3:11" x14ac:dyDescent="0.25">
      <c r="C1" s="82"/>
      <c r="D1" s="83"/>
    </row>
    <row r="2" spans="3:11" x14ac:dyDescent="0.25">
      <c r="C2" s="84"/>
      <c r="D2" s="85" t="s">
        <v>15</v>
      </c>
    </row>
    <row r="3" spans="3:11" x14ac:dyDescent="0.25">
      <c r="C3" s="84"/>
      <c r="D3" s="85" t="s">
        <v>14</v>
      </c>
    </row>
    <row r="4" spans="3:11" x14ac:dyDescent="0.25">
      <c r="C4" s="84"/>
      <c r="D4" s="85" t="s">
        <v>17</v>
      </c>
    </row>
    <row r="5" spans="3:11" ht="15.75" thickBot="1" x14ac:dyDescent="0.3">
      <c r="C5" s="84"/>
      <c r="D5" s="85" t="s">
        <v>16</v>
      </c>
    </row>
    <row r="6" spans="3:11" x14ac:dyDescent="0.25">
      <c r="C6" s="84"/>
      <c r="D6" s="85"/>
      <c r="I6" s="116"/>
      <c r="J6" s="111"/>
      <c r="K6" s="112"/>
    </row>
    <row r="7" spans="3:11" x14ac:dyDescent="0.25">
      <c r="C7" s="84"/>
      <c r="D7" s="85"/>
      <c r="I7" s="117"/>
      <c r="J7" s="113" t="s">
        <v>150</v>
      </c>
      <c r="K7" s="119" t="s">
        <v>151</v>
      </c>
    </row>
    <row r="8" spans="3:11" ht="15.75" thickBot="1" x14ac:dyDescent="0.3">
      <c r="C8" s="84"/>
      <c r="D8" s="85" t="s">
        <v>97</v>
      </c>
      <c r="I8" s="118"/>
      <c r="J8" s="114"/>
      <c r="K8" s="115"/>
    </row>
    <row r="9" spans="3:11" x14ac:dyDescent="0.25">
      <c r="C9" s="84"/>
      <c r="D9" s="85" t="s">
        <v>98</v>
      </c>
    </row>
    <row r="10" spans="3:11" x14ac:dyDescent="0.25">
      <c r="C10" s="84"/>
      <c r="D10" t="s">
        <v>154</v>
      </c>
    </row>
    <row r="11" spans="3:11" ht="15.75" thickBot="1" x14ac:dyDescent="0.3">
      <c r="C11" s="86"/>
      <c r="D11" s="87"/>
    </row>
    <row r="15" spans="3:11" x14ac:dyDescent="0.25">
      <c r="D15" s="85"/>
    </row>
    <row r="16" spans="3:11" x14ac:dyDescent="0.25">
      <c r="D16" s="85"/>
    </row>
    <row r="17" spans="1:7" ht="15.75" thickBot="1" x14ac:dyDescent="0.3"/>
    <row r="18" spans="1:7" ht="15.75" thickBot="1" x14ac:dyDescent="0.3">
      <c r="A18" s="136" t="s">
        <v>151</v>
      </c>
      <c r="B18" s="137"/>
      <c r="C18" s="138"/>
      <c r="D18" s="139" t="s">
        <v>152</v>
      </c>
      <c r="E18" s="140" t="s">
        <v>153</v>
      </c>
      <c r="F18" s="140"/>
      <c r="G18" s="141"/>
    </row>
  </sheetData>
  <mergeCells count="2">
    <mergeCell ref="A18:B18"/>
    <mergeCell ref="E18:G18"/>
  </mergeCells>
  <conditionalFormatting sqref="J7 D15:D1048576 D1:D13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C8E1-E30A-4896-9972-62C0E4F77BE1}">
  <sheetPr>
    <tabColor rgb="FFFF0000"/>
  </sheetPr>
  <dimension ref="B5:C15"/>
  <sheetViews>
    <sheetView workbookViewId="0">
      <selection activeCell="H11" sqref="H11"/>
    </sheetView>
  </sheetViews>
  <sheetFormatPr defaultRowHeight="15" x14ac:dyDescent="0.25"/>
  <cols>
    <col min="2" max="2" width="48" bestFit="1" customWidth="1"/>
  </cols>
  <sheetData>
    <row r="5" spans="2:3" x14ac:dyDescent="0.25">
      <c r="B5" t="s">
        <v>99</v>
      </c>
      <c r="C5" s="25" t="s">
        <v>102</v>
      </c>
    </row>
    <row r="9" spans="2:3" x14ac:dyDescent="0.25">
      <c r="B9" t="s">
        <v>100</v>
      </c>
      <c r="C9" s="25" t="s">
        <v>102</v>
      </c>
    </row>
    <row r="12" spans="2:3" x14ac:dyDescent="0.25">
      <c r="B12" t="s">
        <v>101</v>
      </c>
      <c r="C12" s="25" t="s">
        <v>102</v>
      </c>
    </row>
    <row r="15" spans="2:3" x14ac:dyDescent="0.25">
      <c r="B15" t="s">
        <v>103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Payment Data Syucess ECM TO GDM</vt:lpstr>
      <vt:lpstr>Payment Duplicate error fix</vt:lpstr>
      <vt:lpstr>Transfered  Progression Checkin</vt:lpstr>
      <vt:lpstr>POS  and PAGE UPDATE</vt:lpstr>
      <vt:lpstr>Induction re-arrange</vt:lpstr>
      <vt:lpstr>re register</vt:lpstr>
      <vt:lpstr>Wanna Host Coreclty</vt:lpstr>
      <vt:lpstr>New ID Order Missing </vt:lpstr>
      <vt:lpstr>HD RESULT another also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Mirshath</dc:creator>
  <cp:lastModifiedBy>Mohamed Mirshath</cp:lastModifiedBy>
  <dcterms:created xsi:type="dcterms:W3CDTF">2026-08-23T06:17:56Z</dcterms:created>
  <dcterms:modified xsi:type="dcterms:W3CDTF">2026-09-15T05:25:54Z</dcterms:modified>
</cp:coreProperties>
</file>